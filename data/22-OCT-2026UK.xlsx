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164A4A9B-F1A4-4106-B6E7-4C73785DE6BB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<sst xmlns="http://schemas.openxmlformats.org/spreadsheetml/2006/main" count="149" uniqueCount="108">
  <si>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</si>
  <si>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</si>
  <si>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</si>
  <si>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</si>
  <si>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</si>
  <si>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</si>
  <si>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</si>
  <si>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</si>
  <si>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</si>
  <si>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</si>
  <si>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</si>
  <si>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</si>
  <si>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</si>
  <si>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</si>
  <si>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</si>
  <si>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</si>
  <si>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</si>
  <si>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</si>
  <si>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</si>
  <si>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</si>
  <si>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</si>
  <si>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</si>
  <si>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</si>
  <si>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</si>
  <si>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</si>
  <si>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</si>
  <si>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</si>
  <si>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</si>
  <si>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</si>
  <si>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</si>
  <si>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</si>
  <si>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</si>
  <si>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</si>
  <si>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</si>
  <si>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</si>
  <si>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</si>
  <si>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</si>
  <si>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</si>
  <si>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</si>
  <si>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</si>
  <si>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</si>
  <si>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</si>
  <si>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</si>
  <si>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</si>
  <si>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</si>
  <si>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</si>
  <si>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</si>
  <si>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</si>
  <si>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</si>
  <si>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</si>
  <si>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</si>
  <si>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</si>
  <si>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</si>
  <si>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</si>
  <si>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</si>
  <si>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</si>
  <si>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</si>
  <si>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</si>
  <si>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</si>
  <si>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</si>
  <si>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</si>
  <si>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</si>
  <si>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</si>
  <si>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</si>
  <si>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</si>
  <si>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</si>
  <si>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</si>
  <si>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</si>
  <si>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</si>
  <si>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</si>
  <si>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</si>
  <si>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</si>
  <si>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</si>
  <si>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</si>
  <si>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</si>
  <si>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</si>
  <si>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</si>
  <si>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</si>
  <si>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</si>
  <si>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</si>
  <si>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</si>
  <si>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</si>
  <si>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</si>
  <si>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</si>
  <si>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</si>
  <si>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24ώρου</t>
  </si>
  <si>
    <t>16/6</t>
  </si>
  <si>
    <t>17/6</t>
  </si>
  <si>
    <t>3/6</t>
  </si>
  <si>
    <t>29/5</t>
  </si>
  <si>
    <t>13/5</t>
  </si>
  <si>
    <t>25/5</t>
  </si>
  <si>
    <t>30/9</t>
  </si>
  <si>
    <t>28/5</t>
  </si>
  <si>
    <t>24/4</t>
  </si>
  <si>
    <t>29,5</t>
  </si>
  <si>
    <t>27/5</t>
  </si>
  <si>
    <t>16/3-29/5</t>
  </si>
  <si>
    <t>16/2-12/6</t>
  </si>
  <si>
    <t>30/3-29/5</t>
  </si>
  <si>
    <t>27/4-26/5</t>
  </si>
  <si>
    <t>16/1-7/9</t>
  </si>
  <si>
    <t xml:space="preserve">  Μεταφορά νερού από Αρμίνου στο φράγμα Κούρη από  01/10/2026 -</t>
  </si>
  <si>
    <t>26/27</t>
  </si>
  <si>
    <t>23/3-29/5</t>
  </si>
  <si>
    <t>2/4-5/6</t>
  </si>
  <si>
    <t>14/2-30/6</t>
  </si>
  <si>
    <t>10/3-2/6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</si>
</sst>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0.62900000000000011</c:v>
                </c:pt>
                <c:pt idx="1">
                  <c:v>0.10100000000000001</c:v>
                </c:pt>
                <c:pt idx="2">
                  <c:v>4.7E-2</c:v>
                </c:pt>
                <c:pt idx="3">
                  <c:v>0.115</c:v>
                </c:pt>
                <c:pt idx="4">
                  <c:v>2.1000000000000001E-2</c:v>
                </c:pt>
                <c:pt idx="5">
                  <c:v>3.9E-2</c:v>
                </c:pt>
                <c:pt idx="6">
                  <c:v>1.2E-2</c:v>
                </c:pt>
                <c:pt idx="7">
                  <c:v>0.03</c:v>
                </c:pt>
                <c:pt idx="8">
                  <c:v>0</c:v>
                </c:pt>
                <c:pt idx="9">
                  <c:v>0.39900000000000002</c:v>
                </c:pt>
                <c:pt idx="10">
                  <c:v>1.0999999999999999E-2</c:v>
                </c:pt>
                <c:pt idx="11">
                  <c:v>2.0000000000000004E-2</c:v>
                </c:pt>
                <c:pt idx="12">
                  <c:v>1E-3</c:v>
                </c:pt>
                <c:pt idx="13">
                  <c:v>1.1000000000000001E-2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3.1E-2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1.4999999999999999E-2</c:v>
                </c:pt>
                <c:pt idx="10">
                  <c:v>0</c:v>
                </c:pt>
                <c:pt idx="11">
                  <c:v>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42.072000000000003</c:v>
                </c:pt>
                <c:pt idx="1">
                  <c:v>18.498000000000001</c:v>
                </c:pt>
                <c:pt idx="2">
                  <c:v>9.2590000000000003</c:v>
                </c:pt>
                <c:pt idx="3">
                  <c:v>7.1440000000000001</c:v>
                </c:pt>
                <c:pt idx="4">
                  <c:v>3.6829999999999998</c:v>
                </c:pt>
                <c:pt idx="5">
                  <c:v>3.7269999999999999</c:v>
                </c:pt>
                <c:pt idx="6">
                  <c:v>2.3959999999999999</c:v>
                </c:pt>
                <c:pt idx="7">
                  <c:v>6.3900000000000006</c:v>
                </c:pt>
                <c:pt idx="8">
                  <c:v>0.53900000000000003</c:v>
                </c:pt>
                <c:pt idx="9">
                  <c:v>2.88</c:v>
                </c:pt>
                <c:pt idx="10">
                  <c:v>1.4600000000000002</c:v>
                </c:pt>
                <c:pt idx="11">
                  <c:v>0.65400000000000003</c:v>
                </c:pt>
                <c:pt idx="12">
                  <c:v>1.1919999999999999</c:v>
                </c:pt>
                <c:pt idx="13">
                  <c:v>1.0649999999999999</c:v>
                </c:pt>
                <c:pt idx="14">
                  <c:v>0.441</c:v>
                </c:pt>
                <c:pt idx="15">
                  <c:v>0.503</c:v>
                </c:pt>
                <c:pt idx="16">
                  <c:v>0.36299999999999999</c:v>
                </c:pt>
                <c:pt idx="17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1.4669999999999999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P17" sqref="P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46317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0.25" x14ac:dyDescent="0.3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85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60</v>
      </c>
      <c r="C17" s="204"/>
      <c r="D17" s="205"/>
      <c r="E17" s="3">
        <v>115</v>
      </c>
      <c r="F17" s="127">
        <v>3.1E-2</v>
      </c>
      <c r="G17" s="128">
        <v>0.62900000000000011</v>
      </c>
      <c r="H17" s="129">
        <v>42.072000000000003</v>
      </c>
      <c r="I17" s="130">
        <v>36.584347826086962</v>
      </c>
      <c r="J17" s="131">
        <v>11.789</v>
      </c>
      <c r="K17" s="4">
        <v>10.251304347826087</v>
      </c>
      <c r="L17" s="5">
        <v>48.267000000000003</v>
      </c>
      <c r="M17" s="132" t="s">
        <v>86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0</v>
      </c>
      <c r="G18" s="53">
        <v>2.1000000000000001E-2</v>
      </c>
      <c r="H18" s="134">
        <v>3.6829999999999998</v>
      </c>
      <c r="I18" s="135">
        <v>21.53801169590643</v>
      </c>
      <c r="J18" s="7">
        <v>1.95</v>
      </c>
      <c r="K18" s="8">
        <v>11.403508771929824</v>
      </c>
      <c r="L18" s="5">
        <v>4.2469999999999999</v>
      </c>
      <c r="M18" s="132" t="s">
        <v>87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0</v>
      </c>
      <c r="G19" s="53">
        <v>1.2E-2</v>
      </c>
      <c r="H19" s="134">
        <v>2.3959999999999999</v>
      </c>
      <c r="I19" s="135">
        <v>17.299638989169676</v>
      </c>
      <c r="J19" s="7">
        <v>2.0059999999999998</v>
      </c>
      <c r="K19" s="8">
        <v>14.483754512635377</v>
      </c>
      <c r="L19" s="5">
        <v>2.569</v>
      </c>
      <c r="M19" s="132" t="s">
        <v>87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3.9E-2</v>
      </c>
      <c r="H20" s="134">
        <v>3.7269999999999999</v>
      </c>
      <c r="I20" s="135">
        <v>24.045161290322582</v>
      </c>
      <c r="J20" s="7">
        <v>3.2269999999999999</v>
      </c>
      <c r="K20" s="8">
        <v>20.819354838709678</v>
      </c>
      <c r="L20" s="5">
        <v>5.9409999999999998</v>
      </c>
      <c r="M20" s="132" t="s">
        <v>88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0</v>
      </c>
      <c r="G21" s="53">
        <v>0.03</v>
      </c>
      <c r="H21" s="134">
        <v>6.3900000000000006</v>
      </c>
      <c r="I21" s="135">
        <v>47.333333333333336</v>
      </c>
      <c r="J21" s="7">
        <v>0.83599999999999997</v>
      </c>
      <c r="K21" s="8">
        <v>6.1925925925925922</v>
      </c>
      <c r="L21" s="5">
        <v>8.14</v>
      </c>
      <c r="M21" s="132" t="s">
        <v>89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1.4999999999999999E-2</v>
      </c>
      <c r="G22" s="53">
        <v>0.39900000000000002</v>
      </c>
      <c r="H22" s="134">
        <v>2.88</v>
      </c>
      <c r="I22" s="135">
        <v>66.976744186046517</v>
      </c>
      <c r="J22" s="136">
        <v>1.7589999999999999</v>
      </c>
      <c r="K22" s="8">
        <v>40.906976744186046</v>
      </c>
      <c r="L22" s="5">
        <v>3.117</v>
      </c>
      <c r="M22" s="132" t="s">
        <v>90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0</v>
      </c>
      <c r="G23" s="53">
        <v>1.0999999999999999E-2</v>
      </c>
      <c r="H23" s="134">
        <v>1.4600000000000002</v>
      </c>
      <c r="I23" s="135">
        <v>42.941176470588246</v>
      </c>
      <c r="J23" s="7">
        <v>0.83899999999999997</v>
      </c>
      <c r="K23" s="8">
        <v>24.676470588235293</v>
      </c>
      <c r="L23" s="5">
        <v>2.198</v>
      </c>
      <c r="M23" s="132" t="s">
        <v>91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0.53900000000000003</v>
      </c>
      <c r="I24" s="141">
        <v>7.9264705882352944</v>
      </c>
      <c r="J24" s="142">
        <v>9.8000000000000004E-2</v>
      </c>
      <c r="K24" s="54">
        <v>1.4411764705882353</v>
      </c>
      <c r="L24" s="5">
        <v>0.38</v>
      </c>
      <c r="M24" s="143" t="s">
        <v>92</v>
      </c>
      <c r="N24" s="9"/>
    </row>
    <row r="25" spans="2:48" ht="23.25" customHeight="1" thickBot="1" x14ac:dyDescent="0.35">
      <c r="B25" s="193" t="s">
        <v>61</v>
      </c>
      <c r="C25" s="194"/>
      <c r="D25" s="195"/>
      <c r="E25" s="55">
        <v>189.45000000000002</v>
      </c>
      <c r="F25" s="144">
        <v>4.5999999999999999E-2</v>
      </c>
      <c r="G25" s="145">
        <v>1.1410000000000002</v>
      </c>
      <c r="H25" s="146">
        <v>63.147000000000006</v>
      </c>
      <c r="I25" s="56">
        <v>33.331749802058589</v>
      </c>
      <c r="J25" s="147">
        <v>22.503999999999994</v>
      </c>
      <c r="K25" s="56">
        <v>11.878595935603057</v>
      </c>
      <c r="L25" s="57">
        <v>73.126999999999995</v>
      </c>
      <c r="M25" s="148" t="s">
        <v>86</v>
      </c>
      <c r="O25" s="2"/>
    </row>
    <row r="26" spans="2:48" ht="19.5" customHeight="1" x14ac:dyDescent="0.3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0</v>
      </c>
      <c r="G27" s="53">
        <v>0.10100000000000001</v>
      </c>
      <c r="H27" s="134">
        <v>18.498000000000001</v>
      </c>
      <c r="I27" s="135">
        <v>35.318377088305489</v>
      </c>
      <c r="J27" s="7">
        <v>4.9880000000000004</v>
      </c>
      <c r="K27" s="8">
        <v>9.5236276849642021</v>
      </c>
      <c r="L27" s="10">
        <v>22.010999999999999</v>
      </c>
      <c r="M27" s="132" t="s">
        <v>95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2E-3</v>
      </c>
      <c r="G28" s="53">
        <v>0.115</v>
      </c>
      <c r="H28" s="134">
        <v>7.1440000000000001</v>
      </c>
      <c r="I28" s="135">
        <v>41.612301957129546</v>
      </c>
      <c r="J28" s="7">
        <v>2.0649999999999999</v>
      </c>
      <c r="K28" s="8">
        <v>12.028191985088538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1E-3</v>
      </c>
      <c r="G29" s="53">
        <v>2.0000000000000004E-2</v>
      </c>
      <c r="H29" s="134">
        <v>0.65400000000000003</v>
      </c>
      <c r="I29" s="135">
        <v>30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193" t="s">
        <v>61</v>
      </c>
      <c r="C30" s="194"/>
      <c r="D30" s="195"/>
      <c r="E30" s="55">
        <v>71.723000000000013</v>
      </c>
      <c r="F30" s="144">
        <v>3.0000000000000001E-3</v>
      </c>
      <c r="G30" s="149">
        <v>0.23600000000000004</v>
      </c>
      <c r="H30" s="146">
        <v>26.296000000000003</v>
      </c>
      <c r="I30" s="56">
        <v>36.663273984635332</v>
      </c>
      <c r="J30" s="147">
        <v>7.0530000000000008</v>
      </c>
      <c r="K30" s="56">
        <v>9.8336656302720176</v>
      </c>
      <c r="L30" s="57">
        <v>32.914000000000001</v>
      </c>
      <c r="M30" s="148" t="s">
        <v>89</v>
      </c>
      <c r="O30" s="2"/>
    </row>
    <row r="31" spans="2:48" ht="25.5" customHeight="1" x14ac:dyDescent="0.3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0</v>
      </c>
      <c r="G32" s="53">
        <v>4.7E-2</v>
      </c>
      <c r="H32" s="134">
        <v>9.2590000000000003</v>
      </c>
      <c r="I32" s="135">
        <v>38.579166666666673</v>
      </c>
      <c r="J32" s="7">
        <v>2.83</v>
      </c>
      <c r="K32" s="8">
        <v>11.791666666666668</v>
      </c>
      <c r="L32" s="10">
        <v>12.036</v>
      </c>
      <c r="M32" s="132" t="s">
        <v>96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1.1000000000000001E-2</v>
      </c>
      <c r="H33" s="134">
        <v>0.441</v>
      </c>
      <c r="I33" s="135">
        <v>44.545454545454547</v>
      </c>
      <c r="J33" s="7">
        <v>3.0000000000000001E-3</v>
      </c>
      <c r="K33" s="8">
        <v>0.30303030303030304</v>
      </c>
      <c r="L33" s="10">
        <v>0.99</v>
      </c>
      <c r="M33" s="132" t="s">
        <v>97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6.0000000000000001E-3</v>
      </c>
      <c r="H34" s="134">
        <v>0.503</v>
      </c>
      <c r="I34" s="135">
        <v>58.488372093023258</v>
      </c>
      <c r="J34" s="7">
        <v>0.115</v>
      </c>
      <c r="K34" s="8">
        <v>13.372093023255815</v>
      </c>
      <c r="L34" s="10">
        <v>0.86</v>
      </c>
      <c r="M34" s="132" t="s">
        <v>98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0</v>
      </c>
      <c r="G35" s="53">
        <v>1.4E-2</v>
      </c>
      <c r="H35" s="134">
        <v>0.14699999999999999</v>
      </c>
      <c r="I35" s="135">
        <v>49.328859060402685</v>
      </c>
      <c r="J35" s="7">
        <v>5.5E-2</v>
      </c>
      <c r="K35" s="8">
        <v>18.456375838926174</v>
      </c>
      <c r="L35" s="10">
        <v>0.29799999999999999</v>
      </c>
      <c r="M35" s="143" t="s">
        <v>99</v>
      </c>
      <c r="O35" s="2"/>
      <c r="Q35" s="12"/>
    </row>
    <row r="36" spans="2:38" ht="23.25" customHeight="1" thickBot="1" x14ac:dyDescent="0.35">
      <c r="B36" s="193" t="s">
        <v>61</v>
      </c>
      <c r="C36" s="194"/>
      <c r="D36" s="195"/>
      <c r="E36" s="55">
        <v>26.147999999999996</v>
      </c>
      <c r="F36" s="144">
        <v>0</v>
      </c>
      <c r="G36" s="149">
        <v>7.8E-2</v>
      </c>
      <c r="H36" s="146">
        <v>10.350000000000001</v>
      </c>
      <c r="I36" s="56">
        <v>39.582377237264808</v>
      </c>
      <c r="J36" s="147">
        <v>3.0030000000000006</v>
      </c>
      <c r="K36" s="56">
        <v>11.484625975217993</v>
      </c>
      <c r="L36" s="57">
        <v>14.183999999999999</v>
      </c>
      <c r="M36" s="148" t="s">
        <v>96</v>
      </c>
      <c r="O36" s="2"/>
    </row>
    <row r="37" spans="2:38" ht="23.25" customHeight="1" x14ac:dyDescent="0.3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1E-3</v>
      </c>
      <c r="H38" s="129">
        <v>1.1919999999999999</v>
      </c>
      <c r="I38" s="130">
        <v>70.532544378698219</v>
      </c>
      <c r="J38" s="131">
        <v>5.0000000000000001E-3</v>
      </c>
      <c r="K38" s="4">
        <v>0.29585798816568049</v>
      </c>
      <c r="L38" s="10">
        <v>1.69</v>
      </c>
      <c r="M38" s="132" t="s">
        <v>100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0</v>
      </c>
      <c r="G39" s="53">
        <v>1.1000000000000001E-2</v>
      </c>
      <c r="H39" s="134">
        <v>1.0649999999999999</v>
      </c>
      <c r="I39" s="135">
        <v>74.47552447552448</v>
      </c>
      <c r="J39" s="7">
        <v>2.9000000000000001E-2</v>
      </c>
      <c r="K39" s="8">
        <v>2.0279720279720284</v>
      </c>
      <c r="L39" s="10">
        <v>1.43</v>
      </c>
      <c r="M39" s="132" t="s">
        <v>104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0.04</v>
      </c>
      <c r="K40" s="8">
        <v>11.019283746556475</v>
      </c>
      <c r="L40" s="62">
        <v>0.36299999999999999</v>
      </c>
      <c r="M40" s="143" t="s">
        <v>101</v>
      </c>
    </row>
    <row r="41" spans="2:38" ht="30" customHeight="1" thickBot="1" x14ac:dyDescent="0.35">
      <c r="B41" s="193" t="s">
        <v>61</v>
      </c>
      <c r="C41" s="194"/>
      <c r="D41" s="195"/>
      <c r="E41" s="55">
        <v>3.4830000000000001</v>
      </c>
      <c r="F41" s="144">
        <v>0</v>
      </c>
      <c r="G41" s="149">
        <v>1.2E-2</v>
      </c>
      <c r="H41" s="146">
        <v>2.6199999999999997</v>
      </c>
      <c r="I41" s="56">
        <v>75.222509331036449</v>
      </c>
      <c r="J41" s="147">
        <v>7.400000000000001E-2</v>
      </c>
      <c r="K41" s="56">
        <v>2.1246052253804195</v>
      </c>
      <c r="L41" s="63">
        <v>3.4830000000000001</v>
      </c>
      <c r="M41" s="148" t="s">
        <v>100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4.9000000000000002E-2</v>
      </c>
      <c r="G43" s="64">
        <v>1.4670000000000003</v>
      </c>
      <c r="H43" s="164">
        <v>102.41300000000001</v>
      </c>
      <c r="I43" s="165">
        <v>0.35217190960234385</v>
      </c>
      <c r="J43" s="14">
        <v>32.633999999999993</v>
      </c>
      <c r="K43" s="165">
        <v>0.11221991444409289</v>
      </c>
      <c r="L43" s="65">
        <v>123.443</v>
      </c>
      <c r="M43" s="66" t="s">
        <v>88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1.4669999999999999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1.4669999999999999</v>
      </c>
      <c r="Q61" s="13"/>
    </row>
    <row r="62" spans="2:17" ht="30" customHeight="1" thickBot="1" x14ac:dyDescent="0.3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81</v>
      </c>
      <c r="C63" s="184"/>
      <c r="D63" s="185"/>
      <c r="E63" s="74">
        <v>2.8</v>
      </c>
      <c r="F63" s="60">
        <v>0</v>
      </c>
      <c r="G63" s="151">
        <v>0.02</v>
      </c>
      <c r="H63" s="152">
        <v>2.1989999999999998</v>
      </c>
      <c r="I63" s="153">
        <v>78.535714285714292</v>
      </c>
      <c r="J63" s="61">
        <v>0.51300000000000001</v>
      </c>
      <c r="K63" s="154">
        <v>18.321428571428573</v>
      </c>
      <c r="L63" s="175">
        <v>2.8</v>
      </c>
      <c r="M63" s="75" t="s">
        <v>105</v>
      </c>
      <c r="O63" s="12"/>
    </row>
    <row r="64" spans="2:17" ht="30" customHeight="1" x14ac:dyDescent="0.35">
      <c r="B64" s="186" t="s">
        <v>82</v>
      </c>
      <c r="C64" s="187"/>
      <c r="D64" s="188"/>
      <c r="E64" s="58">
        <v>2</v>
      </c>
      <c r="F64" s="133">
        <v>1E-3</v>
      </c>
      <c r="G64" s="53">
        <v>5.6000000000000001E-2</v>
      </c>
      <c r="H64" s="134">
        <v>1.7889999999999999</v>
      </c>
      <c r="I64" s="135">
        <v>89.45</v>
      </c>
      <c r="J64" s="7">
        <v>1.115</v>
      </c>
      <c r="K64" s="8">
        <v>55.75</v>
      </c>
      <c r="L64" s="176">
        <v>2</v>
      </c>
      <c r="M64" s="76" t="s">
        <v>106</v>
      </c>
      <c r="O64" s="12"/>
    </row>
    <row r="65" spans="2:15" ht="30" customHeight="1" thickBot="1" x14ac:dyDescent="0.4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3.7304705061080456</v>
      </c>
      <c r="I65" s="179">
        <v>83.755512036552446</v>
      </c>
      <c r="J65" s="79">
        <v>1.931</v>
      </c>
      <c r="K65" s="180">
        <v>43.354288280197579</v>
      </c>
      <c r="L65" s="181">
        <v>4.4539999999999997</v>
      </c>
      <c r="M65" s="80" t="s">
        <v>107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3.1E-2</v>
      </c>
      <c r="G3" s="34">
        <f>'ΙΣΤΟΣΕΛΙΔΑ-GR(4)'!G17</f>
        <v>0.62900000000000011</v>
      </c>
      <c r="H3" s="35">
        <f>'ΙΣΤΟΣΕΛΙΔΑ-GR(4)'!H17</f>
        <v>42.072000000000003</v>
      </c>
      <c r="I3" s="35">
        <f>'ΙΣΤΟΣΕΛΙΔΑ-GR(4)'!I17</f>
        <v>36.584347826086962</v>
      </c>
      <c r="J3" s="42">
        <f>'ΙΣΤΟΣΕΛΙΔΑ-GR(4)'!J17</f>
        <v>11.789</v>
      </c>
      <c r="K3" s="42">
        <f>'ΙΣΤΟΣΕΛΙΔΑ-GR(4)'!K17</f>
        <v>10.251304347826087</v>
      </c>
      <c r="L3" s="39">
        <f>'ΙΣΤΟΣΕΛΙΔΑ-GR(4)'!L17</f>
        <v>48.267000000000003</v>
      </c>
      <c r="M3" s="34">
        <f>E$21</f>
        <v>290.80400000000003</v>
      </c>
      <c r="N3" s="34">
        <f>H$21</f>
        <v>102.413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0.10100000000000001</v>
      </c>
      <c r="H4" s="35">
        <f>'ΙΣΤΟΣΕΛΙΔΑ-GR(4)'!H27</f>
        <v>18.498000000000001</v>
      </c>
      <c r="I4" s="35">
        <f>'ΙΣΤΟΣΕΛΙΔΑ-GR(4)'!I27</f>
        <v>35.318377088305489</v>
      </c>
      <c r="J4" s="42">
        <f>'ΙΣΤΟΣΕΛΙΔΑ-GR(4)'!J27</f>
        <v>4.9880000000000004</v>
      </c>
      <c r="K4" s="42">
        <f>'ΙΣΤΟΣΕΛΙΔΑ-GR(4)'!K27</f>
        <v>9.5236276849642021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102.413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4.7E-2</v>
      </c>
      <c r="H5" s="35">
        <f>'ΙΣΤΟΣΕΛΙΔΑ-GR(4)'!H32</f>
        <v>9.2590000000000003</v>
      </c>
      <c r="I5" s="35">
        <f>'ΙΣΤΟΣΕΛΙΔΑ-GR(4)'!I32</f>
        <v>38.579166666666673</v>
      </c>
      <c r="J5" s="42">
        <f>'ΙΣΤΟΣΕΛΙΔΑ-GR(4)'!J32</f>
        <v>2.83</v>
      </c>
      <c r="K5" s="42">
        <f>'ΙΣΤΟΣΕΛΙΔΑ-GR(4)'!K32</f>
        <v>11.791666666666668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102.413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2E-3</v>
      </c>
      <c r="G6" s="34">
        <f>'ΙΣΤΟΣΕΛΙΔΑ-GR(4)'!G28</f>
        <v>0.115</v>
      </c>
      <c r="H6" s="35">
        <f>'ΙΣΤΟΣΕΛΙΔΑ-GR(4)'!H28</f>
        <v>7.1440000000000001</v>
      </c>
      <c r="I6" s="35">
        <f>'ΙΣΤΟΣΕΛΙΔΑ-GR(4)'!I28</f>
        <v>41.612301957129546</v>
      </c>
      <c r="J6" s="42">
        <f>'ΙΣΤΟΣΕΛΙΔΑ-GR(4)'!J28</f>
        <v>2.0649999999999999</v>
      </c>
      <c r="K6" s="42">
        <f>'ΙΣΤΟΣΕΛΙΔΑ-GR(4)'!K28</f>
        <v>12.028191985088538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102.413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2.1000000000000001E-2</v>
      </c>
      <c r="H7" s="35">
        <f>'ΙΣΤΟΣΕΛΙΔΑ-GR(4)'!H18</f>
        <v>3.6829999999999998</v>
      </c>
      <c r="I7" s="35">
        <f>'ΙΣΤΟΣΕΛΙΔΑ-GR(4)'!I18</f>
        <v>21.53801169590643</v>
      </c>
      <c r="J7" s="42">
        <f>'ΙΣΤΟΣΕΛΙΔΑ-GR(4)'!J18</f>
        <v>1.95</v>
      </c>
      <c r="K7" s="42">
        <f>'ΙΣΤΟΣΕΛΙΔΑ-GR(4)'!K18</f>
        <v>11.403508771929824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102.413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3.9E-2</v>
      </c>
      <c r="H8" s="35">
        <f>'ΙΣΤΟΣΕΛΙΔΑ-GR(4)'!H20</f>
        <v>3.7269999999999999</v>
      </c>
      <c r="I8" s="35">
        <f>'ΙΣΤΟΣΕΛΙΔΑ-GR(4)'!I20</f>
        <v>24.045161290322582</v>
      </c>
      <c r="J8" s="42">
        <f>'ΙΣΤΟΣΕΛΙΔΑ-GR(4)'!J20</f>
        <v>3.2269999999999999</v>
      </c>
      <c r="K8" s="42">
        <f>'ΙΣΤΟΣΕΛΙΔΑ-GR(4)'!K20</f>
        <v>20.819354838709678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102.413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1.2E-2</v>
      </c>
      <c r="H9" s="35">
        <f>'ΙΣΤΟΣΕΛΙΔΑ-GR(4)'!H19</f>
        <v>2.3959999999999999</v>
      </c>
      <c r="I9" s="35">
        <f>'ΙΣΤΟΣΕΛΙΔΑ-GR(4)'!I19</f>
        <v>17.299638989169676</v>
      </c>
      <c r="J9" s="42">
        <f>'ΙΣΤΟΣΕΛΙΔΑ-GR(4)'!J19</f>
        <v>2.0059999999999998</v>
      </c>
      <c r="K9" s="42">
        <f>'ΙΣΤΟΣΕΛΙΔΑ-GR(4)'!K19</f>
        <v>14.483754512635377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102.413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0.03</v>
      </c>
      <c r="H10" s="35">
        <f>'ΙΣΤΟΣΕΛΙΔΑ-GR(4)'!H21</f>
        <v>6.3900000000000006</v>
      </c>
      <c r="I10" s="35">
        <f>'ΙΣΤΟΣΕΛΙΔΑ-GR(4)'!I21</f>
        <v>47.333333333333336</v>
      </c>
      <c r="J10" s="42">
        <f>'ΙΣΤΟΣΕΛΙΔΑ-GR(4)'!J21</f>
        <v>0.83599999999999997</v>
      </c>
      <c r="K10" s="42">
        <f>'ΙΣΤΟΣΕΛΙΔΑ-GR(4)'!K21</f>
        <v>6.1925925925925922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102.413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0.53900000000000003</v>
      </c>
      <c r="I11" s="35">
        <f>'ΙΣΤΟΣΕΛΙΔΑ-GR(4)'!I24</f>
        <v>7.9264705882352944</v>
      </c>
      <c r="J11" s="42">
        <f>'ΙΣΤΟΣΕΛΙΔΑ-GR(4)'!J24</f>
        <v>9.8000000000000004E-2</v>
      </c>
      <c r="K11" s="42">
        <f>'ΙΣΤΟΣΕΛΙΔΑ-GR(4)'!K24</f>
        <v>1.4411764705882353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102.413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1.4999999999999999E-2</v>
      </c>
      <c r="G12" s="34">
        <f>'ΙΣΤΟΣΕΛΙΔΑ-GR(4)'!G22</f>
        <v>0.39900000000000002</v>
      </c>
      <c r="H12" s="35">
        <f>'ΙΣΤΟΣΕΛΙΔΑ-GR(4)'!H22</f>
        <v>2.88</v>
      </c>
      <c r="I12" s="35">
        <f>'ΙΣΤΟΣΕΛΙΔΑ-GR(4)'!I22</f>
        <v>66.976744186046517</v>
      </c>
      <c r="J12" s="42">
        <f>'ΙΣΤΟΣΕΛΙΔΑ-GR(4)'!J22</f>
        <v>1.7589999999999999</v>
      </c>
      <c r="K12" s="42">
        <f>'ΙΣΤΟΣΕΛΙΔΑ-GR(4)'!K22</f>
        <v>40.906976744186046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102.413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1.0999999999999999E-2</v>
      </c>
      <c r="H13" s="35">
        <f>'ΙΣΤΟΣΕΛΙΔΑ-GR(4)'!H23</f>
        <v>1.4600000000000002</v>
      </c>
      <c r="I13" s="35">
        <f>'ΙΣΤΟΣΕΛΙΔΑ-GR(4)'!I23</f>
        <v>42.941176470588246</v>
      </c>
      <c r="J13" s="42">
        <f>'ΙΣΤΟΣΕΛΙΔΑ-GR(4)'!J23</f>
        <v>0.83899999999999997</v>
      </c>
      <c r="K13" s="42">
        <f>'ΙΣΤΟΣΕΛΙΔΑ-GR(4)'!K23</f>
        <v>24.676470588235293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102.413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1E-3</v>
      </c>
      <c r="G14" s="34">
        <f>'ΙΣΤΟΣΕΛΙΔΑ-GR(4)'!G29</f>
        <v>2.0000000000000004E-2</v>
      </c>
      <c r="H14" s="35">
        <f>'ΙΣΤΟΣΕΛΙΔΑ-GR(4)'!H29</f>
        <v>0.65400000000000003</v>
      </c>
      <c r="I14" s="35">
        <f>'ΙΣΤΟΣΕΛΙΔΑ-GR(4)'!I29</f>
        <v>30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102.413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1.1919999999999999</v>
      </c>
      <c r="I15" s="35">
        <f>'ΙΣΤΟΣΕΛΙΔΑ-GR(4)'!I38</f>
        <v>70.532544378698219</v>
      </c>
      <c r="J15" s="42">
        <f>'ΙΣΤΟΣΕΛΙΔΑ-GR(4)'!J38</f>
        <v>5.0000000000000001E-3</v>
      </c>
      <c r="K15" s="42">
        <f>'ΙΣΤΟΣΕΛΙΔΑ-GR(4)'!K38</f>
        <v>0.29585798816568049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102.413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1.1000000000000001E-2</v>
      </c>
      <c r="H16" s="35">
        <f>'ΙΣΤΟΣΕΛΙΔΑ-GR(4)'!H39</f>
        <v>1.0649999999999999</v>
      </c>
      <c r="I16" s="35">
        <f>'ΙΣΤΟΣΕΛΙΔΑ-GR(4)'!I39</f>
        <v>74.47552447552448</v>
      </c>
      <c r="J16" s="42">
        <f>'ΙΣΤΟΣΕΛΙΔΑ-GR(4)'!J39</f>
        <v>2.9000000000000001E-2</v>
      </c>
      <c r="K16" s="42">
        <f>'ΙΣΤΟΣΕΛΙΔΑ-GR(4)'!K39</f>
        <v>2.0279720279720284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102.413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1.1000000000000001E-2</v>
      </c>
      <c r="H17" s="35">
        <f>'ΙΣΤΟΣΕΛΙΔΑ-GR(4)'!H33</f>
        <v>0.441</v>
      </c>
      <c r="I17" s="35">
        <f>'ΙΣΤΟΣΕΛΙΔΑ-GR(4)'!I33</f>
        <v>44.545454545454547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102.413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6.0000000000000001E-3</v>
      </c>
      <c r="H18" s="35">
        <f>'ΙΣΤΟΣΕΛΙΔΑ-GR(4)'!H34</f>
        <v>0.503</v>
      </c>
      <c r="I18" s="35">
        <f>'ΙΣΤΟΣΕΛΙΔΑ-GR(4)'!I34</f>
        <v>58.488372093023258</v>
      </c>
      <c r="J18" s="42">
        <f>'ΙΣΤΟΣΕΛΙΔΑ-GR(4)'!J34</f>
        <v>0.115</v>
      </c>
      <c r="K18" s="42">
        <f>'ΙΣΤΟΣΕΛΙΔΑ-GR(4)'!K34</f>
        <v>13.372093023255815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102.413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0.04</v>
      </c>
      <c r="K19" s="42">
        <f>'ΙΣΤΟΣΕΛΙΔΑ-GR(4)'!K40</f>
        <v>11.019283746556475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102.413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1.4E-2</v>
      </c>
      <c r="H20" s="35">
        <f>'ΙΣΤΟΣΕΛΙΔΑ-GR(4)'!H35</f>
        <v>0.14699999999999999</v>
      </c>
      <c r="I20" s="35">
        <f>'ΙΣΤΟΣΕΛΙΔΑ-GR(4)'!I35</f>
        <v>49.328859060402685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102.413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4.9000000000000002E-2</v>
      </c>
      <c r="G21" s="36">
        <f>SUM(G3:G20)</f>
        <v>1.4669999999999999</v>
      </c>
      <c r="H21" s="35">
        <f>SUM(H3:H20)</f>
        <v>102.413</v>
      </c>
      <c r="I21" s="37">
        <f>H21/E21</f>
        <v>0.35217190960234379</v>
      </c>
      <c r="J21" s="43">
        <f>SUM(J3:J20)</f>
        <v>32.634000000000007</v>
      </c>
      <c r="K21" s="44">
        <f>J21/E21</f>
        <v>0.11221991444409295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102.413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1.4669999999999999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1.4669999999999999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1.4669999999999999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2026-10-22T08:25:21Z</dcterms:modified>
</cp:coreProperties>
</file>