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BA46686C-1E31-44AA-867D-5CDB45CAFC8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<sst xmlns="http://schemas.openxmlformats.org/spreadsheetml/2006/main" count="149" uniqueCount="108">
  <si>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</si>
  <si>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</si>
  <si>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</si>
  <si>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</si>
  <si>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</si>
  <si>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</si>
  <si>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</si>
  <si>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</si>
  <si>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</si>
  <si>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</si>
  <si>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</si>
  <si>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</si>
  <si>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</si>
  <si>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</si>
  <si>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</si>
  <si>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</si>
  <si>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</si>
  <si>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</si>
  <si>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</si>
  <si>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</si>
  <si>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</si>
  <si>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</si>
  <si>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</si>
  <si>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</si>
  <si>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</si>
  <si>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</si>
  <si>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</si>
  <si>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</si>
  <si>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</si>
  <si>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</si>
  <si>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</si>
  <si>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</si>
  <si>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</si>
  <si>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</si>
  <si>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</si>
  <si>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</si>
  <si>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</si>
  <si>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</si>
  <si>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</si>
  <si>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</si>
  <si>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</si>
  <si>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</si>
  <si>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</si>
  <si>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</si>
  <si>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</si>
  <si>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</si>
  <si>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</si>
  <si>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</si>
  <si>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</si>
  <si>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</si>
  <si>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</si>
  <si>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</si>
  <si>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</si>
  <si>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</si>
  <si>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</si>
  <si>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</si>
  <si>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</si>
  <si>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</si>
  <si>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</si>
  <si>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</si>
  <si>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</si>
  <si>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</si>
  <si>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</si>
  <si>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</si>
  <si>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</si>
  <si>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</si>
  <si>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</si>
  <si>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</si>
  <si>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</si>
  <si>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</si>
  <si>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</si>
  <si>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</si>
  <si>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</si>
  <si>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</si>
  <si>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</si>
  <si>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</si>
  <si>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</si>
  <si>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</si>
  <si>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</si>
  <si>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</si>
  <si>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</si>
  <si>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</si>
  <si>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</si>
  <si>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</si>
  <si>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</si>
  <si>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</si>
  <si>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</si>
  <si>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</si>
  <si>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</si>
  <si>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</si>
  <si>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</si>
  <si>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</si>
  <si>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</si>
  <si>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</si>
  <si>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</si>
  <si>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</si>
  <si>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</si>
  <si>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</si>
  <si>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</si>
  <si>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</si>
  <si>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</si>
  <si>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</si>
  <si>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 xml:space="preserve">  Μεταφορά νερού από Αρμίνου στο φράγμα Κούρη από  01/10/2026 -</t>
  </si>
  <si>
    <t>26/27</t>
  </si>
  <si>
    <t>2/4-5/6</t>
  </si>
  <si>
    <t>14/2-30/6</t>
  </si>
  <si>
    <t>10/3-2/6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</si>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</sst>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0.92800000000000016</c:v>
                </c:pt>
                <c:pt idx="1">
                  <c:v>0.17</c:v>
                </c:pt>
                <c:pt idx="2">
                  <c:v>6.7000000000000004E-2</c:v>
                </c:pt>
                <c:pt idx="3">
                  <c:v>0.12400000000000001</c:v>
                </c:pt>
                <c:pt idx="4">
                  <c:v>0.04</c:v>
                </c:pt>
                <c:pt idx="5">
                  <c:v>8.4000000000000005E-2</c:v>
                </c:pt>
                <c:pt idx="6">
                  <c:v>1.7000000000000001E-2</c:v>
                </c:pt>
                <c:pt idx="7">
                  <c:v>3.5000000000000003E-2</c:v>
                </c:pt>
                <c:pt idx="8">
                  <c:v>0</c:v>
                </c:pt>
                <c:pt idx="9">
                  <c:v>0.54800000000000004</c:v>
                </c:pt>
                <c:pt idx="10">
                  <c:v>1.0999999999999999E-2</c:v>
                </c:pt>
                <c:pt idx="11">
                  <c:v>2.8000000000000004E-2</c:v>
                </c:pt>
                <c:pt idx="12">
                  <c:v>1E-3</c:v>
                </c:pt>
                <c:pt idx="13">
                  <c:v>1.3000000000000001E-2</c:v>
                </c:pt>
                <c:pt idx="14">
                  <c:v>1.1000000000000001E-2</c:v>
                </c:pt>
                <c:pt idx="15">
                  <c:v>6.0000000000000001E-3</c:v>
                </c:pt>
                <c:pt idx="16">
                  <c:v>0</c:v>
                </c:pt>
                <c:pt idx="17">
                  <c:v>2.0000000000000004E-2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6.4000000000000001E-2</c:v>
                </c:pt>
                <c:pt idx="1">
                  <c:v>3.9E-2</c:v>
                </c:pt>
                <c:pt idx="2">
                  <c:v>1.6E-2</c:v>
                </c:pt>
                <c:pt idx="3">
                  <c:v>5.0000000000000001E-3</c:v>
                </c:pt>
                <c:pt idx="4">
                  <c:v>1.2999999999999999E-2</c:v>
                </c:pt>
                <c:pt idx="5">
                  <c:v>1.7000000000000001E-2</c:v>
                </c:pt>
                <c:pt idx="6">
                  <c:v>2E-3</c:v>
                </c:pt>
                <c:pt idx="7">
                  <c:v>2E-3</c:v>
                </c:pt>
                <c:pt idx="8">
                  <c:v>0</c:v>
                </c:pt>
                <c:pt idx="9">
                  <c:v>5.3999999999999999E-2</c:v>
                </c:pt>
                <c:pt idx="10">
                  <c:v>0</c:v>
                </c:pt>
                <c:pt idx="11">
                  <c:v>2.9999999999999992E-3</c:v>
                </c:pt>
                <c:pt idx="12">
                  <c:v>0</c:v>
                </c:pt>
                <c:pt idx="13">
                  <c:v>1E-3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41.866999999999997</c:v>
                </c:pt>
                <c:pt idx="1">
                  <c:v>18.445</c:v>
                </c:pt>
                <c:pt idx="2">
                  <c:v>9.2200000000000006</c:v>
                </c:pt>
                <c:pt idx="3">
                  <c:v>7.0679999999999996</c:v>
                </c:pt>
                <c:pt idx="4">
                  <c:v>3.6589999999999998</c:v>
                </c:pt>
                <c:pt idx="5">
                  <c:v>3.7079999999999997</c:v>
                </c:pt>
                <c:pt idx="6">
                  <c:v>2.3929999999999998</c:v>
                </c:pt>
                <c:pt idx="7">
                  <c:v>6.2640000000000002</c:v>
                </c:pt>
                <c:pt idx="8">
                  <c:v>0.53300000000000003</c:v>
                </c:pt>
                <c:pt idx="9">
                  <c:v>2.9969999999999999</c:v>
                </c:pt>
                <c:pt idx="10">
                  <c:v>1.4570000000000001</c:v>
                </c:pt>
                <c:pt idx="11">
                  <c:v>0.66600000000000004</c:v>
                </c:pt>
                <c:pt idx="12">
                  <c:v>1.181</c:v>
                </c:pt>
                <c:pt idx="13">
                  <c:v>1.0609999999999999</c:v>
                </c:pt>
                <c:pt idx="14">
                  <c:v>0.43</c:v>
                </c:pt>
                <c:pt idx="15">
                  <c:v>0.498</c:v>
                </c:pt>
                <c:pt idx="16">
                  <c:v>0.36299999999999999</c:v>
                </c:pt>
                <c:pt idx="17">
                  <c:v>0.153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2.1029999999999998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3.2" x14ac:dyDescent="0.25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3.2" x14ac:dyDescent="0.2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tabSelected="1" zoomScale="60" zoomScaleNormal="60" workbookViewId="0">
      <selection activeCell="F1" sqref="F1"/>
    </sheetView>
  </sheetViews>
  <sheetFormatPr defaultColWidth="9.296875" defaultRowHeight="32.25" customHeight="1" x14ac:dyDescent="0.25"/>
  <cols>
    <col min="1" max="1" width="9.296875" customWidth="1"/>
    <col min="2" max="2" width="20.3984375" style="1" customWidth="1"/>
    <col min="3" max="3" width="14.3984375" style="1" customWidth="1"/>
    <col min="4" max="5" width="15.69921875" style="1" customWidth="1"/>
    <col min="6" max="6" width="14.59765625" style="1" customWidth="1"/>
    <col min="7" max="7" width="15.09765625" style="1" customWidth="1"/>
    <col min="8" max="9" width="15.3984375" style="1" customWidth="1"/>
    <col min="10" max="10" width="16" style="1" customWidth="1"/>
    <col min="11" max="11" width="15.296875" style="1" customWidth="1"/>
    <col min="12" max="12" width="18.59765625" style="1" customWidth="1"/>
    <col min="13" max="13" width="19.3984375" style="1" customWidth="1"/>
    <col min="14" max="14" width="13.3984375" style="1" customWidth="1"/>
    <col min="15" max="15" width="9.3984375" style="1" bestFit="1" customWidth="1"/>
    <col min="16" max="16" width="9.296875" style="1"/>
    <col min="17" max="17" width="10.8984375" style="1" bestFit="1" customWidth="1"/>
    <col min="18" max="18" width="10" style="1" bestFit="1" customWidth="1"/>
    <col min="19" max="19" width="14.09765625" style="1" bestFit="1" customWidth="1"/>
    <col min="20" max="16384" width="9.296875" style="1"/>
  </cols>
  <sheetData>
    <row r="1" spans="2:19" ht="12.75" customHeight="1" x14ac:dyDescent="0.25"/>
    <row r="2" spans="2:19" ht="15.6" x14ac:dyDescent="0.3">
      <c r="B2" s="16"/>
      <c r="C2" s="16"/>
      <c r="D2" s="16"/>
    </row>
    <row r="3" spans="2:19" ht="15.6" x14ac:dyDescent="0.3">
      <c r="B3" s="16"/>
      <c r="C3" s="16"/>
      <c r="D3" s="16"/>
    </row>
    <row r="4" spans="2:19" ht="15.6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5.6" x14ac:dyDescent="0.3">
      <c r="B6" s="16"/>
      <c r="C6" s="16"/>
      <c r="D6" s="16"/>
    </row>
    <row r="7" spans="2:19" ht="15.6" x14ac:dyDescent="0.3">
      <c r="B7" s="16"/>
      <c r="C7" s="16"/>
      <c r="D7" s="16"/>
    </row>
    <row r="8" spans="2:19" ht="15.6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1" x14ac:dyDescent="0.4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6.8" thickBot="1" x14ac:dyDescent="0.4">
      <c r="C10" s="18"/>
      <c r="D10" s="18"/>
      <c r="E10" s="20"/>
      <c r="F10" s="18"/>
      <c r="G10" s="18"/>
      <c r="H10" s="17"/>
      <c r="I10" s="17"/>
      <c r="J10" s="17"/>
      <c r="L10" s="209">
        <v>46325</v>
      </c>
      <c r="M10" s="210"/>
      <c r="S10" s="49"/>
    </row>
    <row r="11" spans="2:19" ht="18" thickTop="1" x14ac:dyDescent="0.3">
      <c r="B11" s="93"/>
      <c r="C11" s="94"/>
      <c r="D11" s="94"/>
      <c r="E11" s="95"/>
      <c r="F11" s="211" t="s">
        <v>43</v>
      </c>
      <c r="G11" s="212"/>
      <c r="H11" s="213" t="s">
        <v>44</v>
      </c>
      <c r="I11" s="213"/>
      <c r="J11" s="213"/>
      <c r="K11" s="214"/>
      <c r="L11" s="96" t="s">
        <v>45</v>
      </c>
      <c r="M11" s="97"/>
    </row>
    <row r="12" spans="2:19" ht="17.399999999999999" x14ac:dyDescent="0.3">
      <c r="B12" s="98"/>
      <c r="C12" s="99"/>
      <c r="D12" s="99"/>
      <c r="E12" s="100" t="s">
        <v>46</v>
      </c>
      <c r="F12" s="215" t="s">
        <v>47</v>
      </c>
      <c r="G12" s="216"/>
      <c r="H12" s="217" t="s">
        <v>48</v>
      </c>
      <c r="I12" s="218"/>
      <c r="J12" s="217" t="s">
        <v>49</v>
      </c>
      <c r="K12" s="218"/>
      <c r="L12" s="101" t="s">
        <v>50</v>
      </c>
      <c r="M12" s="102"/>
    </row>
    <row r="13" spans="2:19" ht="21" x14ac:dyDescent="0.4">
      <c r="B13" s="219" t="s">
        <v>0</v>
      </c>
      <c r="C13" s="220"/>
      <c r="D13" s="221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399999999999999" x14ac:dyDescent="0.35">
      <c r="B14" s="98"/>
      <c r="C14" s="99"/>
      <c r="D14" s="99"/>
      <c r="E14" s="108"/>
      <c r="F14" s="109" t="s">
        <v>107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.6" thickBot="1" x14ac:dyDescent="0.4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4">
      <c r="B16" s="222" t="s">
        <v>59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4">
      <c r="B17" s="203" t="s">
        <v>60</v>
      </c>
      <c r="C17" s="204"/>
      <c r="D17" s="205"/>
      <c r="E17" s="3">
        <v>115</v>
      </c>
      <c r="F17" s="127">
        <v>6.4000000000000001E-2</v>
      </c>
      <c r="G17" s="128">
        <v>0.92800000000000016</v>
      </c>
      <c r="H17" s="129">
        <v>41.866999999999997</v>
      </c>
      <c r="I17" s="130">
        <v>36.40608695652174</v>
      </c>
      <c r="J17" s="131">
        <v>11.242000000000001</v>
      </c>
      <c r="K17" s="4">
        <v>9.7756521739130431</v>
      </c>
      <c r="L17" s="5">
        <v>48.267000000000003</v>
      </c>
      <c r="M17" s="132" t="s">
        <v>85</v>
      </c>
      <c r="O17" s="2"/>
    </row>
    <row r="18" spans="2:48" ht="33" customHeight="1" x14ac:dyDescent="0.4">
      <c r="B18" s="192" t="s">
        <v>3</v>
      </c>
      <c r="C18" s="187"/>
      <c r="D18" s="188"/>
      <c r="E18" s="6">
        <v>17.100000000000001</v>
      </c>
      <c r="F18" s="133">
        <v>1.2999999999999999E-2</v>
      </c>
      <c r="G18" s="53">
        <v>0.04</v>
      </c>
      <c r="H18" s="134">
        <v>3.6589999999999998</v>
      </c>
      <c r="I18" s="135">
        <v>21.397660818713447</v>
      </c>
      <c r="J18" s="7">
        <v>1.851</v>
      </c>
      <c r="K18" s="8">
        <v>10.824561403508772</v>
      </c>
      <c r="L18" s="5">
        <v>4.2469999999999999</v>
      </c>
      <c r="M18" s="132" t="s">
        <v>86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4">
      <c r="B19" s="192" t="s">
        <v>4</v>
      </c>
      <c r="C19" s="187"/>
      <c r="D19" s="188"/>
      <c r="E19" s="6">
        <v>13.85</v>
      </c>
      <c r="F19" s="133">
        <v>2E-3</v>
      </c>
      <c r="G19" s="53">
        <v>1.7000000000000001E-2</v>
      </c>
      <c r="H19" s="134">
        <v>2.3929999999999998</v>
      </c>
      <c r="I19" s="135">
        <v>17.277978339350181</v>
      </c>
      <c r="J19" s="7">
        <v>1.9890000000000001</v>
      </c>
      <c r="K19" s="8">
        <v>14.361010830324911</v>
      </c>
      <c r="L19" s="5">
        <v>2.569</v>
      </c>
      <c r="M19" s="132" t="s">
        <v>86</v>
      </c>
      <c r="N19" s="9"/>
      <c r="O19" s="2"/>
    </row>
    <row r="20" spans="2:48" ht="33" customHeight="1" x14ac:dyDescent="0.4">
      <c r="B20" s="192" t="s">
        <v>5</v>
      </c>
      <c r="C20" s="187"/>
      <c r="D20" s="188"/>
      <c r="E20" s="6">
        <v>15.5</v>
      </c>
      <c r="F20" s="133">
        <v>1.7000000000000001E-2</v>
      </c>
      <c r="G20" s="53">
        <v>8.4000000000000005E-2</v>
      </c>
      <c r="H20" s="134">
        <v>3.7079999999999997</v>
      </c>
      <c r="I20" s="135">
        <v>23.92258064516129</v>
      </c>
      <c r="J20" s="7">
        <v>3.0870000000000002</v>
      </c>
      <c r="K20" s="8">
        <v>19.916129032258066</v>
      </c>
      <c r="L20" s="5">
        <v>5.9409999999999998</v>
      </c>
      <c r="M20" s="132" t="s">
        <v>87</v>
      </c>
      <c r="O20" s="2"/>
    </row>
    <row r="21" spans="2:48" ht="33" customHeight="1" x14ac:dyDescent="0.4">
      <c r="B21" s="192" t="s">
        <v>6</v>
      </c>
      <c r="C21" s="187"/>
      <c r="D21" s="188"/>
      <c r="E21" s="6">
        <v>13.5</v>
      </c>
      <c r="F21" s="133">
        <v>2E-3</v>
      </c>
      <c r="G21" s="53">
        <v>3.5000000000000003E-2</v>
      </c>
      <c r="H21" s="134">
        <v>6.2640000000000002</v>
      </c>
      <c r="I21" s="135">
        <v>46.400000000000006</v>
      </c>
      <c r="J21" s="7">
        <v>0.72099999999999997</v>
      </c>
      <c r="K21" s="8">
        <v>5.3407407407407401</v>
      </c>
      <c r="L21" s="5">
        <v>8.14</v>
      </c>
      <c r="M21" s="132" t="s">
        <v>88</v>
      </c>
      <c r="O21" s="2"/>
    </row>
    <row r="22" spans="2:48" ht="33" customHeight="1" x14ac:dyDescent="0.4">
      <c r="B22" s="192" t="s">
        <v>7</v>
      </c>
      <c r="C22" s="187"/>
      <c r="D22" s="188"/>
      <c r="E22" s="6">
        <v>4.3</v>
      </c>
      <c r="F22" s="133">
        <v>5.3999999999999999E-2</v>
      </c>
      <c r="G22" s="53">
        <v>0.54800000000000004</v>
      </c>
      <c r="H22" s="134">
        <v>2.9969999999999999</v>
      </c>
      <c r="I22" s="135">
        <v>69.697674418604649</v>
      </c>
      <c r="J22" s="136">
        <v>1.7330000000000001</v>
      </c>
      <c r="K22" s="8">
        <v>40.302325581395351</v>
      </c>
      <c r="L22" s="5">
        <v>3.117</v>
      </c>
      <c r="M22" s="132" t="s">
        <v>89</v>
      </c>
      <c r="O22" s="2"/>
    </row>
    <row r="23" spans="2:48" ht="33" customHeight="1" x14ac:dyDescent="0.4">
      <c r="B23" s="192" t="s">
        <v>8</v>
      </c>
      <c r="C23" s="187"/>
      <c r="D23" s="188"/>
      <c r="E23" s="6">
        <v>3.4</v>
      </c>
      <c r="F23" s="133">
        <v>0</v>
      </c>
      <c r="G23" s="53">
        <v>1.0999999999999999E-2</v>
      </c>
      <c r="H23" s="134">
        <v>1.4570000000000001</v>
      </c>
      <c r="I23" s="135">
        <v>42.852941176470594</v>
      </c>
      <c r="J23" s="7">
        <v>0.83</v>
      </c>
      <c r="K23" s="8">
        <v>24.411764705882351</v>
      </c>
      <c r="L23" s="5">
        <v>2.198</v>
      </c>
      <c r="M23" s="132" t="s">
        <v>90</v>
      </c>
      <c r="O23" s="2"/>
    </row>
    <row r="24" spans="2:48" ht="33.9" customHeight="1" thickBot="1" x14ac:dyDescent="0.45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0.53300000000000003</v>
      </c>
      <c r="I24" s="141">
        <v>7.8382352941176476</v>
      </c>
      <c r="J24" s="142">
        <v>9.6000000000000002E-2</v>
      </c>
      <c r="K24" s="54">
        <v>1.411764705882353</v>
      </c>
      <c r="L24" s="5">
        <v>0.38</v>
      </c>
      <c r="M24" s="143" t="s">
        <v>91</v>
      </c>
      <c r="N24" s="9"/>
    </row>
    <row r="25" spans="2:48" ht="23.25" customHeight="1" thickBot="1" x14ac:dyDescent="0.45">
      <c r="B25" s="193" t="s">
        <v>61</v>
      </c>
      <c r="C25" s="194"/>
      <c r="D25" s="195"/>
      <c r="E25" s="55">
        <v>189.45000000000002</v>
      </c>
      <c r="F25" s="144">
        <v>0.152</v>
      </c>
      <c r="G25" s="145">
        <v>1.663</v>
      </c>
      <c r="H25" s="146">
        <v>62.878</v>
      </c>
      <c r="I25" s="56">
        <v>33.189759831089994</v>
      </c>
      <c r="J25" s="147">
        <v>21.548999999999999</v>
      </c>
      <c r="K25" s="56">
        <v>11.374505146476642</v>
      </c>
      <c r="L25" s="57">
        <v>73.126999999999995</v>
      </c>
      <c r="M25" s="148" t="s">
        <v>85</v>
      </c>
      <c r="O25" s="2"/>
    </row>
    <row r="26" spans="2:48" ht="19.5" customHeight="1" x14ac:dyDescent="0.4">
      <c r="B26" s="206" t="s">
        <v>62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4">
      <c r="B27" s="192" t="s">
        <v>10</v>
      </c>
      <c r="C27" s="187"/>
      <c r="D27" s="188"/>
      <c r="E27" s="6">
        <v>52.375</v>
      </c>
      <c r="F27" s="133">
        <v>3.9E-2</v>
      </c>
      <c r="G27" s="53">
        <v>0.17</v>
      </c>
      <c r="H27" s="134">
        <v>18.445</v>
      </c>
      <c r="I27" s="135">
        <v>35.217183770883054</v>
      </c>
      <c r="J27" s="7">
        <v>4.7679999999999998</v>
      </c>
      <c r="K27" s="8">
        <v>9.1035799522673031</v>
      </c>
      <c r="L27" s="10">
        <v>22.010999999999999</v>
      </c>
      <c r="M27" s="132" t="s">
        <v>92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4">
      <c r="B28" s="192" t="s">
        <v>11</v>
      </c>
      <c r="C28" s="187"/>
      <c r="D28" s="188"/>
      <c r="E28" s="6">
        <v>17.167999999999999</v>
      </c>
      <c r="F28" s="133">
        <v>5.0000000000000001E-3</v>
      </c>
      <c r="G28" s="53">
        <v>0.12400000000000001</v>
      </c>
      <c r="H28" s="134">
        <v>7.0679999999999996</v>
      </c>
      <c r="I28" s="135">
        <v>41.16961789375582</v>
      </c>
      <c r="J28" s="7">
        <v>1.976</v>
      </c>
      <c r="K28" s="8">
        <v>11.509785647716683</v>
      </c>
      <c r="L28" s="10">
        <v>8.99</v>
      </c>
      <c r="M28" s="132" t="s">
        <v>93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5">
      <c r="B29" s="192" t="s">
        <v>12</v>
      </c>
      <c r="C29" s="187"/>
      <c r="D29" s="188"/>
      <c r="E29" s="6">
        <v>2.1800000000000002</v>
      </c>
      <c r="F29" s="133">
        <v>2.9999999999999992E-3</v>
      </c>
      <c r="G29" s="53">
        <v>2.8000000000000004E-2</v>
      </c>
      <c r="H29" s="134">
        <v>0.66600000000000004</v>
      </c>
      <c r="I29" s="135">
        <v>30.550458715596328</v>
      </c>
      <c r="J29" s="7">
        <v>0</v>
      </c>
      <c r="K29" s="8">
        <v>0</v>
      </c>
      <c r="L29" s="10">
        <v>1.974</v>
      </c>
      <c r="M29" s="143" t="s">
        <v>94</v>
      </c>
      <c r="O29" s="2"/>
    </row>
    <row r="30" spans="2:48" ht="23.25" customHeight="1" thickBot="1" x14ac:dyDescent="0.45">
      <c r="B30" s="193" t="s">
        <v>61</v>
      </c>
      <c r="C30" s="194"/>
      <c r="D30" s="195"/>
      <c r="E30" s="55">
        <v>71.723000000000013</v>
      </c>
      <c r="F30" s="144">
        <v>4.7E-2</v>
      </c>
      <c r="G30" s="149">
        <v>0.32200000000000006</v>
      </c>
      <c r="H30" s="146">
        <v>26.178999999999998</v>
      </c>
      <c r="I30" s="56">
        <v>36.500146396553397</v>
      </c>
      <c r="J30" s="147">
        <v>6.7439999999999998</v>
      </c>
      <c r="K30" s="56">
        <v>9.4028414873889812</v>
      </c>
      <c r="L30" s="57">
        <v>32.914000000000001</v>
      </c>
      <c r="M30" s="148" t="s">
        <v>88</v>
      </c>
      <c r="O30" s="2"/>
    </row>
    <row r="31" spans="2:48" ht="25.5" customHeight="1" x14ac:dyDescent="0.4">
      <c r="B31" s="206" t="s">
        <v>63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4">
      <c r="B32" s="192" t="s">
        <v>13</v>
      </c>
      <c r="C32" s="187"/>
      <c r="D32" s="188"/>
      <c r="E32" s="6">
        <v>24</v>
      </c>
      <c r="F32" s="133">
        <v>1.6E-2</v>
      </c>
      <c r="G32" s="53">
        <v>6.7000000000000004E-2</v>
      </c>
      <c r="H32" s="134">
        <v>9.2200000000000006</v>
      </c>
      <c r="I32" s="135">
        <v>38.416666666666671</v>
      </c>
      <c r="J32" s="7">
        <v>2.7229999999999999</v>
      </c>
      <c r="K32" s="8">
        <v>11.345833333333333</v>
      </c>
      <c r="L32" s="10">
        <v>12.036</v>
      </c>
      <c r="M32" s="132" t="s">
        <v>95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4">
      <c r="B33" s="192" t="s">
        <v>14</v>
      </c>
      <c r="C33" s="187"/>
      <c r="D33" s="188"/>
      <c r="E33" s="58">
        <v>0.99</v>
      </c>
      <c r="F33" s="133">
        <v>0</v>
      </c>
      <c r="G33" s="53">
        <v>1.1000000000000001E-2</v>
      </c>
      <c r="H33" s="134">
        <v>0.43</v>
      </c>
      <c r="I33" s="135">
        <v>43.43434343434344</v>
      </c>
      <c r="J33" s="7">
        <v>0</v>
      </c>
      <c r="K33" s="8">
        <v>0</v>
      </c>
      <c r="L33" s="10">
        <v>0.99</v>
      </c>
      <c r="M33" s="132" t="s">
        <v>96</v>
      </c>
      <c r="O33" s="2"/>
    </row>
    <row r="34" spans="2:38" ht="33" customHeight="1" x14ac:dyDescent="0.4">
      <c r="B34" s="192" t="s">
        <v>15</v>
      </c>
      <c r="C34" s="187"/>
      <c r="D34" s="188"/>
      <c r="E34" s="58">
        <v>0.86</v>
      </c>
      <c r="F34" s="133">
        <v>0</v>
      </c>
      <c r="G34" s="53">
        <v>6.0000000000000001E-3</v>
      </c>
      <c r="H34" s="134">
        <v>0.498</v>
      </c>
      <c r="I34" s="135">
        <v>57.906976744186046</v>
      </c>
      <c r="J34" s="7">
        <v>0.114</v>
      </c>
      <c r="K34" s="8">
        <v>13.255813953488374</v>
      </c>
      <c r="L34" s="10">
        <v>0.86</v>
      </c>
      <c r="M34" s="132" t="s">
        <v>97</v>
      </c>
      <c r="N34" s="9"/>
      <c r="O34" s="2"/>
      <c r="P34" s="9"/>
      <c r="Q34" s="9"/>
      <c r="R34" s="9"/>
    </row>
    <row r="35" spans="2:38" ht="33" customHeight="1" thickBot="1" x14ac:dyDescent="0.45">
      <c r="B35" s="192" t="s">
        <v>16</v>
      </c>
      <c r="C35" s="187"/>
      <c r="D35" s="188"/>
      <c r="E35" s="59">
        <v>0.29799999999999999</v>
      </c>
      <c r="F35" s="133">
        <v>2E-3</v>
      </c>
      <c r="G35" s="53">
        <v>2.0000000000000004E-2</v>
      </c>
      <c r="H35" s="134">
        <v>0.153</v>
      </c>
      <c r="I35" s="135">
        <v>51.34228187919463</v>
      </c>
      <c r="J35" s="7">
        <v>5.7000000000000002E-2</v>
      </c>
      <c r="K35" s="8">
        <v>19.127516778523489</v>
      </c>
      <c r="L35" s="10">
        <v>0.29799999999999999</v>
      </c>
      <c r="M35" s="143" t="s">
        <v>98</v>
      </c>
      <c r="O35" s="2"/>
      <c r="Q35" s="12"/>
    </row>
    <row r="36" spans="2:38" ht="23.25" customHeight="1" thickBot="1" x14ac:dyDescent="0.45">
      <c r="B36" s="193" t="s">
        <v>61</v>
      </c>
      <c r="C36" s="194"/>
      <c r="D36" s="195"/>
      <c r="E36" s="55">
        <v>26.147999999999996</v>
      </c>
      <c r="F36" s="144">
        <v>1.8000000000000002E-2</v>
      </c>
      <c r="G36" s="149">
        <v>0.10400000000000001</v>
      </c>
      <c r="H36" s="146">
        <v>10.301</v>
      </c>
      <c r="I36" s="56">
        <v>39.394982407832345</v>
      </c>
      <c r="J36" s="147">
        <v>2.8939999999999997</v>
      </c>
      <c r="K36" s="56">
        <v>11.067768089337617</v>
      </c>
      <c r="L36" s="57">
        <v>14.183999999999999</v>
      </c>
      <c r="M36" s="148" t="s">
        <v>95</v>
      </c>
      <c r="O36" s="2"/>
    </row>
    <row r="37" spans="2:38" ht="23.25" customHeight="1" x14ac:dyDescent="0.4">
      <c r="B37" s="206" t="s">
        <v>64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4">
      <c r="B38" s="203" t="s">
        <v>17</v>
      </c>
      <c r="C38" s="204"/>
      <c r="D38" s="205"/>
      <c r="E38" s="3">
        <v>1.69</v>
      </c>
      <c r="F38" s="127">
        <v>0</v>
      </c>
      <c r="G38" s="128">
        <v>1E-3</v>
      </c>
      <c r="H38" s="129">
        <v>1.181</v>
      </c>
      <c r="I38" s="130">
        <v>69.881656804733737</v>
      </c>
      <c r="J38" s="131">
        <v>2E-3</v>
      </c>
      <c r="K38" s="4">
        <v>0.1183431952662722</v>
      </c>
      <c r="L38" s="10">
        <v>1.69</v>
      </c>
      <c r="M38" s="132" t="s">
        <v>99</v>
      </c>
      <c r="N38" s="9"/>
      <c r="O38" s="2"/>
      <c r="P38" s="9"/>
      <c r="Q38" s="9"/>
      <c r="R38" s="9"/>
    </row>
    <row r="39" spans="2:38" ht="33" customHeight="1" x14ac:dyDescent="0.4">
      <c r="B39" s="192" t="s">
        <v>18</v>
      </c>
      <c r="C39" s="187"/>
      <c r="D39" s="188"/>
      <c r="E39" s="6">
        <v>1.43</v>
      </c>
      <c r="F39" s="133">
        <v>1E-3</v>
      </c>
      <c r="G39" s="53">
        <v>1.3000000000000001E-2</v>
      </c>
      <c r="H39" s="134">
        <v>1.0609999999999999</v>
      </c>
      <c r="I39" s="135">
        <v>74.1958041958042</v>
      </c>
      <c r="J39" s="7">
        <v>2.8000000000000001E-2</v>
      </c>
      <c r="K39" s="8">
        <v>1.9580419580419581</v>
      </c>
      <c r="L39" s="10">
        <v>1.43</v>
      </c>
      <c r="M39" s="132" t="s">
        <v>100</v>
      </c>
      <c r="N39" s="9"/>
      <c r="O39" s="2"/>
      <c r="P39" s="9"/>
      <c r="Q39" s="155"/>
      <c r="R39" s="9"/>
    </row>
    <row r="40" spans="2:38" ht="33" customHeight="1" thickBot="1" x14ac:dyDescent="0.45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4.1000000000000002E-2</v>
      </c>
      <c r="K40" s="8">
        <v>11.294765840220386</v>
      </c>
      <c r="L40" s="62">
        <v>0.36299999999999999</v>
      </c>
      <c r="M40" s="143" t="s">
        <v>101</v>
      </c>
    </row>
    <row r="41" spans="2:38" ht="30" customHeight="1" thickBot="1" x14ac:dyDescent="0.45">
      <c r="B41" s="193" t="s">
        <v>61</v>
      </c>
      <c r="C41" s="194"/>
      <c r="D41" s="195"/>
      <c r="E41" s="55">
        <v>3.4830000000000001</v>
      </c>
      <c r="F41" s="144">
        <v>1E-3</v>
      </c>
      <c r="G41" s="149">
        <v>1.4000000000000002E-2</v>
      </c>
      <c r="H41" s="146">
        <v>2.605</v>
      </c>
      <c r="I41" s="56">
        <v>74.791846109675561</v>
      </c>
      <c r="J41" s="147">
        <v>7.1000000000000008E-2</v>
      </c>
      <c r="K41" s="56">
        <v>2.0384725811082403</v>
      </c>
      <c r="L41" s="63">
        <v>3.4830000000000001</v>
      </c>
      <c r="M41" s="148" t="s">
        <v>99</v>
      </c>
      <c r="O41" s="2"/>
      <c r="P41" s="13"/>
      <c r="Q41" s="13"/>
      <c r="R41" s="156"/>
      <c r="S41" s="156"/>
    </row>
    <row r="42" spans="2:38" ht="10.5" customHeight="1" thickBot="1" x14ac:dyDescent="0.4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45">
      <c r="B43" s="196" t="s">
        <v>20</v>
      </c>
      <c r="C43" s="197"/>
      <c r="D43" s="198"/>
      <c r="E43" s="14">
        <v>290.80400000000003</v>
      </c>
      <c r="F43" s="163">
        <v>0.21800000000000003</v>
      </c>
      <c r="G43" s="64">
        <v>2.1029999999999998</v>
      </c>
      <c r="H43" s="164">
        <v>101.96300000000001</v>
      </c>
      <c r="I43" s="165">
        <v>0.35062447559180754</v>
      </c>
      <c r="J43" s="14">
        <v>31.257999999999999</v>
      </c>
      <c r="K43" s="165">
        <v>0.10748820511409746</v>
      </c>
      <c r="L43" s="65">
        <v>123.443</v>
      </c>
      <c r="M43" s="66" t="s">
        <v>87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4">
      <c r="B44" s="67" t="s">
        <v>65</v>
      </c>
      <c r="O44" s="2"/>
    </row>
    <row r="45" spans="2:38" ht="26.25" customHeight="1" x14ac:dyDescent="0.4">
      <c r="B45" s="90" t="s">
        <v>102</v>
      </c>
      <c r="J45" s="91">
        <v>0</v>
      </c>
      <c r="K45" s="15" t="s">
        <v>66</v>
      </c>
      <c r="O45" s="2"/>
    </row>
    <row r="46" spans="2:38" ht="26.25" customHeight="1" x14ac:dyDescent="0.4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45">
      <c r="B47" s="67"/>
    </row>
    <row r="48" spans="2:38" ht="18" x14ac:dyDescent="0.35">
      <c r="B48" s="199" t="s">
        <v>68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1" x14ac:dyDescent="0.4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103</v>
      </c>
    </row>
    <row r="50" spans="2:17" ht="30" customHeight="1" x14ac:dyDescent="0.4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2.1029999999999998</v>
      </c>
    </row>
    <row r="51" spans="2:17" ht="30" customHeight="1" x14ac:dyDescent="0.4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4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4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4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4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4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4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4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4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5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5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2.1029999999999998</v>
      </c>
      <c r="Q61" s="13"/>
    </row>
    <row r="62" spans="2:17" ht="30" customHeight="1" thickBot="1" x14ac:dyDescent="0.45">
      <c r="B62" s="202" t="s">
        <v>80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4">
      <c r="B63" s="183" t="s">
        <v>81</v>
      </c>
      <c r="C63" s="184"/>
      <c r="D63" s="185"/>
      <c r="E63" s="74">
        <v>2.8</v>
      </c>
      <c r="F63" s="60">
        <v>1E-3</v>
      </c>
      <c r="G63" s="151">
        <v>2.1000000000000001E-2</v>
      </c>
      <c r="H63" s="152">
        <v>2.1749999999999998</v>
      </c>
      <c r="I63" s="153">
        <v>77.678571428571431</v>
      </c>
      <c r="J63" s="61">
        <v>0.5</v>
      </c>
      <c r="K63" s="154">
        <v>17.857142857142858</v>
      </c>
      <c r="L63" s="175">
        <v>2.8</v>
      </c>
      <c r="M63" s="75" t="s">
        <v>104</v>
      </c>
      <c r="O63" s="12"/>
    </row>
    <row r="64" spans="2:17" ht="30" customHeight="1" x14ac:dyDescent="0.4">
      <c r="B64" s="186" t="s">
        <v>82</v>
      </c>
      <c r="C64" s="187"/>
      <c r="D64" s="188"/>
      <c r="E64" s="58">
        <v>2</v>
      </c>
      <c r="F64" s="133">
        <v>8.0000000000000002E-3</v>
      </c>
      <c r="G64" s="53">
        <v>7.0000000000000007E-2</v>
      </c>
      <c r="H64" s="134">
        <v>1.796</v>
      </c>
      <c r="I64" s="135">
        <v>89.8</v>
      </c>
      <c r="J64" s="7">
        <v>1.105</v>
      </c>
      <c r="K64" s="8">
        <v>55.25</v>
      </c>
      <c r="L64" s="176">
        <v>2</v>
      </c>
      <c r="M64" s="76" t="s">
        <v>105</v>
      </c>
      <c r="O64" s="12"/>
    </row>
    <row r="65" spans="2:15" ht="30" customHeight="1" thickBot="1" x14ac:dyDescent="0.45">
      <c r="B65" s="189" t="s">
        <v>83</v>
      </c>
      <c r="C65" s="190"/>
      <c r="D65" s="191"/>
      <c r="E65" s="77">
        <v>4.4539999999999997</v>
      </c>
      <c r="F65" s="177">
        <v>0</v>
      </c>
      <c r="G65" s="78">
        <v>0</v>
      </c>
      <c r="H65" s="178">
        <v>3.7007494504280092</v>
      </c>
      <c r="I65" s="179">
        <v>83.088222955276365</v>
      </c>
      <c r="J65" s="79">
        <v>1.909</v>
      </c>
      <c r="K65" s="180">
        <v>42.86035024696902</v>
      </c>
      <c r="L65" s="181">
        <v>4.4539999999999997</v>
      </c>
      <c r="M65" s="80" t="s">
        <v>106</v>
      </c>
      <c r="O65" s="12"/>
    </row>
    <row r="66" spans="2:15" ht="19.5" customHeight="1" x14ac:dyDescent="0.4">
      <c r="B66" s="182" t="s">
        <v>84</v>
      </c>
      <c r="K66" s="12"/>
      <c r="L66" s="12"/>
    </row>
    <row r="67" spans="2:15" ht="32.25" customHeight="1" x14ac:dyDescent="0.35">
      <c r="B67" s="12"/>
    </row>
    <row r="68" spans="2:15" s="9" customFormat="1" ht="32.25" customHeight="1" x14ac:dyDescent="0.35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5">
      <c r="B69" s="12"/>
      <c r="K69" s="84"/>
      <c r="L69" s="83"/>
    </row>
    <row r="70" spans="2:15" ht="32.25" customHeight="1" x14ac:dyDescent="0.35">
      <c r="B70" s="12"/>
      <c r="K70" s="84"/>
      <c r="L70" s="83"/>
    </row>
    <row r="71" spans="2:15" ht="32.25" customHeight="1" x14ac:dyDescent="0.35">
      <c r="B71" s="12"/>
      <c r="K71" s="84"/>
      <c r="L71" s="83"/>
    </row>
    <row r="72" spans="2:15" ht="32.25" customHeight="1" x14ac:dyDescent="0.35">
      <c r="B72" s="12"/>
      <c r="K72" s="84"/>
      <c r="L72" s="83"/>
    </row>
    <row r="74" spans="2:15" ht="32.25" customHeight="1" x14ac:dyDescent="0.35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5">
      <c r="B75" s="12"/>
    </row>
    <row r="76" spans="2:15" ht="32.25" customHeight="1" x14ac:dyDescent="0.3">
      <c r="B76" s="83"/>
    </row>
    <row r="77" spans="2:15" ht="32.25" customHeight="1" x14ac:dyDescent="0.35">
      <c r="B77" s="12"/>
    </row>
    <row r="78" spans="2:15" ht="32.25" customHeight="1" x14ac:dyDescent="0.35">
      <c r="B78" s="12"/>
    </row>
    <row r="80" spans="2:15" ht="32.25" customHeight="1" x14ac:dyDescent="0.35">
      <c r="B80" s="12"/>
    </row>
    <row r="82" spans="2:2" ht="32.25" customHeight="1" x14ac:dyDescent="0.35">
      <c r="B82" s="12"/>
    </row>
    <row r="83" spans="2:2" ht="32.25" customHeight="1" x14ac:dyDescent="0.35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96875" defaultRowHeight="32.25" customHeight="1" x14ac:dyDescent="0.25"/>
  <cols>
    <col min="1" max="1" width="9.296875" style="23" customWidth="1"/>
    <col min="2" max="2" width="37.09765625" style="23" customWidth="1"/>
    <col min="3" max="3" width="34" style="23" hidden="1" customWidth="1"/>
    <col min="4" max="4" width="15.69921875" style="23" hidden="1" customWidth="1"/>
    <col min="5" max="5" width="18.09765625" style="23" customWidth="1"/>
    <col min="6" max="6" width="17.69921875" style="23" customWidth="1"/>
    <col min="7" max="7" width="16.69921875" style="23" customWidth="1"/>
    <col min="8" max="9" width="16.3984375" style="23" bestFit="1" customWidth="1"/>
    <col min="10" max="10" width="18" style="23" customWidth="1"/>
    <col min="11" max="11" width="17.59765625" style="23" customWidth="1"/>
    <col min="12" max="12" width="18.59765625" style="23" customWidth="1"/>
    <col min="13" max="13" width="18.3984375" style="23" customWidth="1"/>
    <col min="14" max="14" width="22.59765625" style="23" customWidth="1"/>
    <col min="15" max="15" width="18.8984375" style="23" customWidth="1"/>
    <col min="16" max="16" width="14.296875" style="23" bestFit="1" customWidth="1"/>
    <col min="17" max="17" width="10" style="23" bestFit="1" customWidth="1"/>
    <col min="18" max="18" width="14.09765625" style="23" bestFit="1" customWidth="1"/>
    <col min="19" max="16384" width="9.296875" style="23"/>
  </cols>
  <sheetData>
    <row r="1" spans="2:14" ht="61.2" x14ac:dyDescent="0.25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399999999999999" x14ac:dyDescent="0.25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5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6.4000000000000001E-2</v>
      </c>
      <c r="G3" s="34">
        <f>'ΙΣΤΟΣΕΛΙΔΑ-GR(4)'!G17</f>
        <v>0.92800000000000016</v>
      </c>
      <c r="H3" s="35">
        <f>'ΙΣΤΟΣΕΛΙΔΑ-GR(4)'!H17</f>
        <v>41.866999999999997</v>
      </c>
      <c r="I3" s="35">
        <f>'ΙΣΤΟΣΕΛΙΔΑ-GR(4)'!I17</f>
        <v>36.40608695652174</v>
      </c>
      <c r="J3" s="42">
        <f>'ΙΣΤΟΣΕΛΙΔΑ-GR(4)'!J17</f>
        <v>11.242000000000001</v>
      </c>
      <c r="K3" s="42">
        <f>'ΙΣΤΟΣΕΛΙΔΑ-GR(4)'!K17</f>
        <v>9.7756521739130431</v>
      </c>
      <c r="L3" s="39">
        <f>'ΙΣΤΟΣΕΛΙΔΑ-GR(4)'!L17</f>
        <v>48.267000000000003</v>
      </c>
      <c r="M3" s="34">
        <f>E$21</f>
        <v>290.80400000000003</v>
      </c>
      <c r="N3" s="34">
        <f>H$21</f>
        <v>101.96299999999999</v>
      </c>
    </row>
    <row r="4" spans="2:14" ht="33" customHeight="1" x14ac:dyDescent="0.25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3.9E-2</v>
      </c>
      <c r="G4" s="34">
        <f>'ΙΣΤΟΣΕΛΙΔΑ-GR(4)'!G27</f>
        <v>0.17</v>
      </c>
      <c r="H4" s="35">
        <f>'ΙΣΤΟΣΕΛΙΔΑ-GR(4)'!H27</f>
        <v>18.445</v>
      </c>
      <c r="I4" s="35">
        <f>'ΙΣΤΟΣΕΛΙΔΑ-GR(4)'!I27</f>
        <v>35.217183770883054</v>
      </c>
      <c r="J4" s="42">
        <f>'ΙΣΤΟΣΕΛΙΔΑ-GR(4)'!J27</f>
        <v>4.7679999999999998</v>
      </c>
      <c r="K4" s="42">
        <f>'ΙΣΤΟΣΕΛΙΔΑ-GR(4)'!K27</f>
        <v>9.1035799522673031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101.96299999999999</v>
      </c>
    </row>
    <row r="5" spans="2:14" ht="33" customHeight="1" x14ac:dyDescent="0.25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1.6E-2</v>
      </c>
      <c r="G5" s="34">
        <f>'ΙΣΤΟΣΕΛΙΔΑ-GR(4)'!G32</f>
        <v>6.7000000000000004E-2</v>
      </c>
      <c r="H5" s="35">
        <f>'ΙΣΤΟΣΕΛΙΔΑ-GR(4)'!H32</f>
        <v>9.2200000000000006</v>
      </c>
      <c r="I5" s="35">
        <f>'ΙΣΤΟΣΕΛΙΔΑ-GR(4)'!I32</f>
        <v>38.416666666666671</v>
      </c>
      <c r="J5" s="42">
        <f>'ΙΣΤΟΣΕΛΙΔΑ-GR(4)'!J32</f>
        <v>2.7229999999999999</v>
      </c>
      <c r="K5" s="42">
        <f>'ΙΣΤΟΣΕΛΙΔΑ-GR(4)'!K32</f>
        <v>11.345833333333333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101.96299999999999</v>
      </c>
    </row>
    <row r="6" spans="2:14" ht="33" customHeight="1" x14ac:dyDescent="0.25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5.0000000000000001E-3</v>
      </c>
      <c r="G6" s="34">
        <f>'ΙΣΤΟΣΕΛΙΔΑ-GR(4)'!G28</f>
        <v>0.12400000000000001</v>
      </c>
      <c r="H6" s="35">
        <f>'ΙΣΤΟΣΕΛΙΔΑ-GR(4)'!H28</f>
        <v>7.0679999999999996</v>
      </c>
      <c r="I6" s="35">
        <f>'ΙΣΤΟΣΕΛΙΔΑ-GR(4)'!I28</f>
        <v>41.16961789375582</v>
      </c>
      <c r="J6" s="42">
        <f>'ΙΣΤΟΣΕΛΙΔΑ-GR(4)'!J28</f>
        <v>1.976</v>
      </c>
      <c r="K6" s="42">
        <f>'ΙΣΤΟΣΕΛΙΔΑ-GR(4)'!K28</f>
        <v>11.509785647716683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101.96299999999999</v>
      </c>
    </row>
    <row r="7" spans="2:14" ht="33" customHeight="1" x14ac:dyDescent="0.25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1.2999999999999999E-2</v>
      </c>
      <c r="G7" s="34">
        <f>'ΙΣΤΟΣΕΛΙΔΑ-GR(4)'!G18</f>
        <v>0.04</v>
      </c>
      <c r="H7" s="35">
        <f>'ΙΣΤΟΣΕΛΙΔΑ-GR(4)'!H18</f>
        <v>3.6589999999999998</v>
      </c>
      <c r="I7" s="35">
        <f>'ΙΣΤΟΣΕΛΙΔΑ-GR(4)'!I18</f>
        <v>21.397660818713447</v>
      </c>
      <c r="J7" s="42">
        <f>'ΙΣΤΟΣΕΛΙΔΑ-GR(4)'!J18</f>
        <v>1.851</v>
      </c>
      <c r="K7" s="42">
        <f>'ΙΣΤΟΣΕΛΙΔΑ-GR(4)'!K18</f>
        <v>10.824561403508772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101.96299999999999</v>
      </c>
    </row>
    <row r="8" spans="2:14" ht="33" customHeight="1" x14ac:dyDescent="0.25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1.7000000000000001E-2</v>
      </c>
      <c r="G8" s="34">
        <f>'ΙΣΤΟΣΕΛΙΔΑ-GR(4)'!G20</f>
        <v>8.4000000000000005E-2</v>
      </c>
      <c r="H8" s="35">
        <f>'ΙΣΤΟΣΕΛΙΔΑ-GR(4)'!H20</f>
        <v>3.7079999999999997</v>
      </c>
      <c r="I8" s="35">
        <f>'ΙΣΤΟΣΕΛΙΔΑ-GR(4)'!I20</f>
        <v>23.92258064516129</v>
      </c>
      <c r="J8" s="42">
        <f>'ΙΣΤΟΣΕΛΙΔΑ-GR(4)'!J20</f>
        <v>3.0870000000000002</v>
      </c>
      <c r="K8" s="42">
        <f>'ΙΣΤΟΣΕΛΙΔΑ-GR(4)'!K20</f>
        <v>19.916129032258066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101.96299999999999</v>
      </c>
    </row>
    <row r="9" spans="2:14" ht="33" customHeight="1" x14ac:dyDescent="0.25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2E-3</v>
      </c>
      <c r="G9" s="34">
        <f>'ΙΣΤΟΣΕΛΙΔΑ-GR(4)'!G19</f>
        <v>1.7000000000000001E-2</v>
      </c>
      <c r="H9" s="35">
        <f>'ΙΣΤΟΣΕΛΙΔΑ-GR(4)'!H19</f>
        <v>2.3929999999999998</v>
      </c>
      <c r="I9" s="35">
        <f>'ΙΣΤΟΣΕΛΙΔΑ-GR(4)'!I19</f>
        <v>17.277978339350181</v>
      </c>
      <c r="J9" s="42">
        <f>'ΙΣΤΟΣΕΛΙΔΑ-GR(4)'!J19</f>
        <v>1.9890000000000001</v>
      </c>
      <c r="K9" s="42">
        <f>'ΙΣΤΟΣΕΛΙΔΑ-GR(4)'!K19</f>
        <v>14.361010830324911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101.96299999999999</v>
      </c>
    </row>
    <row r="10" spans="2:14" ht="33.9" customHeight="1" x14ac:dyDescent="0.25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2E-3</v>
      </c>
      <c r="G10" s="34">
        <f>'ΙΣΤΟΣΕΛΙΔΑ-GR(4)'!G21</f>
        <v>3.5000000000000003E-2</v>
      </c>
      <c r="H10" s="35">
        <f>'ΙΣΤΟΣΕΛΙΔΑ-GR(4)'!H21</f>
        <v>6.2640000000000002</v>
      </c>
      <c r="I10" s="35">
        <f>'ΙΣΤΟΣΕΛΙΔΑ-GR(4)'!I21</f>
        <v>46.400000000000006</v>
      </c>
      <c r="J10" s="42">
        <f>'ΙΣΤΟΣΕΛΙΔΑ-GR(4)'!J21</f>
        <v>0.72099999999999997</v>
      </c>
      <c r="K10" s="42">
        <f>'ΙΣΤΟΣΕΛΙΔΑ-GR(4)'!K21</f>
        <v>5.3407407407407401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101.96299999999999</v>
      </c>
    </row>
    <row r="11" spans="2:14" ht="33" customHeight="1" x14ac:dyDescent="0.25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0.53300000000000003</v>
      </c>
      <c r="I11" s="35">
        <f>'ΙΣΤΟΣΕΛΙΔΑ-GR(4)'!I24</f>
        <v>7.8382352941176476</v>
      </c>
      <c r="J11" s="42">
        <f>'ΙΣΤΟΣΕΛΙΔΑ-GR(4)'!J24</f>
        <v>9.6000000000000002E-2</v>
      </c>
      <c r="K11" s="42">
        <f>'ΙΣΤΟΣΕΛΙΔΑ-GR(4)'!K24</f>
        <v>1.411764705882353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101.96299999999999</v>
      </c>
    </row>
    <row r="12" spans="2:14" ht="33" customHeight="1" x14ac:dyDescent="0.25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5.3999999999999999E-2</v>
      </c>
      <c r="G12" s="34">
        <f>'ΙΣΤΟΣΕΛΙΔΑ-GR(4)'!G22</f>
        <v>0.54800000000000004</v>
      </c>
      <c r="H12" s="35">
        <f>'ΙΣΤΟΣΕΛΙΔΑ-GR(4)'!H22</f>
        <v>2.9969999999999999</v>
      </c>
      <c r="I12" s="35">
        <f>'ΙΣΤΟΣΕΛΙΔΑ-GR(4)'!I22</f>
        <v>69.697674418604649</v>
      </c>
      <c r="J12" s="42">
        <f>'ΙΣΤΟΣΕΛΙΔΑ-GR(4)'!J22</f>
        <v>1.7330000000000001</v>
      </c>
      <c r="K12" s="42">
        <f>'ΙΣΤΟΣΕΛΙΔΑ-GR(4)'!K22</f>
        <v>40.302325581395351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101.96299999999999</v>
      </c>
    </row>
    <row r="13" spans="2:14" ht="33" customHeight="1" x14ac:dyDescent="0.25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1.0999999999999999E-2</v>
      </c>
      <c r="H13" s="35">
        <f>'ΙΣΤΟΣΕΛΙΔΑ-GR(4)'!H23</f>
        <v>1.4570000000000001</v>
      </c>
      <c r="I13" s="35">
        <f>'ΙΣΤΟΣΕΛΙΔΑ-GR(4)'!I23</f>
        <v>42.852941176470594</v>
      </c>
      <c r="J13" s="42">
        <f>'ΙΣΤΟΣΕΛΙΔΑ-GR(4)'!J23</f>
        <v>0.83</v>
      </c>
      <c r="K13" s="42">
        <f>'ΙΣΤΟΣΕΛΙΔΑ-GR(4)'!K23</f>
        <v>24.411764705882351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101.96299999999999</v>
      </c>
    </row>
    <row r="14" spans="2:14" ht="33" customHeight="1" x14ac:dyDescent="0.25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2.9999999999999992E-3</v>
      </c>
      <c r="G14" s="34">
        <f>'ΙΣΤΟΣΕΛΙΔΑ-GR(4)'!G29</f>
        <v>2.8000000000000004E-2</v>
      </c>
      <c r="H14" s="35">
        <f>'ΙΣΤΟΣΕΛΙΔΑ-GR(4)'!H29</f>
        <v>0.66600000000000004</v>
      </c>
      <c r="I14" s="35">
        <f>'ΙΣΤΟΣΕΛΙΔΑ-GR(4)'!I29</f>
        <v>30.550458715596328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101.96299999999999</v>
      </c>
    </row>
    <row r="15" spans="2:14" ht="33" customHeight="1" x14ac:dyDescent="0.25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1E-3</v>
      </c>
      <c r="H15" s="35">
        <f>'ΙΣΤΟΣΕΛΙΔΑ-GR(4)'!H38</f>
        <v>1.181</v>
      </c>
      <c r="I15" s="35">
        <f>'ΙΣΤΟΣΕΛΙΔΑ-GR(4)'!I38</f>
        <v>69.881656804733737</v>
      </c>
      <c r="J15" s="42">
        <f>'ΙΣΤΟΣΕΛΙΔΑ-GR(4)'!J38</f>
        <v>2E-3</v>
      </c>
      <c r="K15" s="42">
        <f>'ΙΣΤΟΣΕΛΙΔΑ-GR(4)'!K38</f>
        <v>0.1183431952662722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101.96299999999999</v>
      </c>
    </row>
    <row r="16" spans="2:14" ht="33" customHeight="1" x14ac:dyDescent="0.25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1E-3</v>
      </c>
      <c r="G16" s="34">
        <f>'ΙΣΤΟΣΕΛΙΔΑ-GR(4)'!G39</f>
        <v>1.3000000000000001E-2</v>
      </c>
      <c r="H16" s="35">
        <f>'ΙΣΤΟΣΕΛΙΔΑ-GR(4)'!H39</f>
        <v>1.0609999999999999</v>
      </c>
      <c r="I16" s="35">
        <f>'ΙΣΤΟΣΕΛΙΔΑ-GR(4)'!I39</f>
        <v>74.1958041958042</v>
      </c>
      <c r="J16" s="42">
        <f>'ΙΣΤΟΣΕΛΙΔΑ-GR(4)'!J39</f>
        <v>2.8000000000000001E-2</v>
      </c>
      <c r="K16" s="42">
        <f>'ΙΣΤΟΣΕΛΙΔΑ-GR(4)'!K39</f>
        <v>1.9580419580419581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101.96299999999999</v>
      </c>
    </row>
    <row r="17" spans="2:16" ht="33" customHeight="1" x14ac:dyDescent="0.25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1.1000000000000001E-2</v>
      </c>
      <c r="H17" s="35">
        <f>'ΙΣΤΟΣΕΛΙΔΑ-GR(4)'!H33</f>
        <v>0.43</v>
      </c>
      <c r="I17" s="35">
        <f>'ΙΣΤΟΣΕΛΙΔΑ-GR(4)'!I33</f>
        <v>43.43434343434344</v>
      </c>
      <c r="J17" s="42">
        <f>'ΙΣΤΟΣΕΛΙΔΑ-GR(4)'!J33</f>
        <v>0</v>
      </c>
      <c r="K17" s="42">
        <f>'ΙΣΤΟΣΕΛΙΔΑ-GR(4)'!K33</f>
        <v>0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101.96299999999999</v>
      </c>
    </row>
    <row r="18" spans="2:16" ht="33" customHeight="1" x14ac:dyDescent="0.25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6.0000000000000001E-3</v>
      </c>
      <c r="H18" s="35">
        <f>'ΙΣΤΟΣΕΛΙΔΑ-GR(4)'!H34</f>
        <v>0.498</v>
      </c>
      <c r="I18" s="35">
        <f>'ΙΣΤΟΣΕΛΙΔΑ-GR(4)'!I34</f>
        <v>57.906976744186046</v>
      </c>
      <c r="J18" s="42">
        <f>'ΙΣΤΟΣΕΛΙΔΑ-GR(4)'!J34</f>
        <v>0.114</v>
      </c>
      <c r="K18" s="42">
        <f>'ΙΣΤΟΣΕΛΙΔΑ-GR(4)'!K34</f>
        <v>13.255813953488374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101.96299999999999</v>
      </c>
    </row>
    <row r="19" spans="2:16" ht="33" customHeight="1" x14ac:dyDescent="0.25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4.1000000000000002E-2</v>
      </c>
      <c r="K19" s="42">
        <f>'ΙΣΤΟΣΕΛΙΔΑ-GR(4)'!K40</f>
        <v>11.294765840220386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101.96299999999999</v>
      </c>
      <c r="P19" s="26"/>
    </row>
    <row r="20" spans="2:16" ht="33" customHeight="1" x14ac:dyDescent="0.25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2E-3</v>
      </c>
      <c r="G20" s="34">
        <f>'ΙΣΤΟΣΕΛΙΔΑ-GR(4)'!G35</f>
        <v>2.0000000000000004E-2</v>
      </c>
      <c r="H20" s="35">
        <f>'ΙΣΤΟΣΕΛΙΔΑ-GR(4)'!H35</f>
        <v>0.153</v>
      </c>
      <c r="I20" s="35">
        <f>'ΙΣΤΟΣΕΛΙΔΑ-GR(4)'!I35</f>
        <v>51.34228187919463</v>
      </c>
      <c r="J20" s="42">
        <f>'ΙΣΤΟΣΕΛΙΔΑ-GR(4)'!J35</f>
        <v>5.7000000000000002E-2</v>
      </c>
      <c r="K20" s="42">
        <f>'ΙΣΤΟΣΕΛΙΔΑ-GR(4)'!K35</f>
        <v>19.127516778523489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101.96299999999999</v>
      </c>
    </row>
    <row r="21" spans="2:16" ht="32.25" customHeight="1" x14ac:dyDescent="0.25">
      <c r="B21" s="228" t="s">
        <v>20</v>
      </c>
      <c r="C21" s="228"/>
      <c r="D21" s="228"/>
      <c r="E21" s="36">
        <f>SUM(E3:E20)</f>
        <v>290.80400000000003</v>
      </c>
      <c r="F21" s="36">
        <f>SUM(F3:F20)</f>
        <v>0.21800000000000003</v>
      </c>
      <c r="G21" s="36">
        <f>SUM(G3:G20)</f>
        <v>2.1029999999999998</v>
      </c>
      <c r="H21" s="35">
        <f>SUM(H3:H20)</f>
        <v>101.96299999999999</v>
      </c>
      <c r="I21" s="37">
        <f>H21/E21</f>
        <v>0.35062447559180748</v>
      </c>
      <c r="J21" s="43">
        <f>SUM(J3:J20)</f>
        <v>31.257999999999996</v>
      </c>
      <c r="K21" s="44">
        <f>J21/E21</f>
        <v>0.10748820511409744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101.96299999999999</v>
      </c>
    </row>
    <row r="22" spans="2:16" ht="26.25" customHeight="1" x14ac:dyDescent="0.25"/>
    <row r="23" spans="2:16" ht="26.25" customHeight="1" x14ac:dyDescent="0.25">
      <c r="J23" s="27"/>
    </row>
    <row r="24" spans="2:16" ht="26.25" customHeight="1" x14ac:dyDescent="0.25">
      <c r="G24" s="27"/>
    </row>
    <row r="25" spans="2:16" ht="19.5" customHeight="1" x14ac:dyDescent="0.25"/>
    <row r="26" spans="2:16" ht="20.399999999999999" x14ac:dyDescent="0.25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5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2.1029999999999998</v>
      </c>
    </row>
    <row r="28" spans="2:16" ht="21.75" customHeight="1" x14ac:dyDescent="0.25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5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5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5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5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5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5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5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5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3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3.4" thickBot="1" x14ac:dyDescent="0.45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2.1029999999999998</v>
      </c>
    </row>
    <row r="39" spans="2:15" ht="32.25" customHeight="1" thickTop="1" x14ac:dyDescent="0.25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2.1029999999999998</v>
      </c>
    </row>
    <row r="40" spans="2:15" ht="32.25" customHeight="1" x14ac:dyDescent="0.25">
      <c r="K40" s="27"/>
    </row>
    <row r="41" spans="2:15" ht="32.25" customHeight="1" x14ac:dyDescent="0.25">
      <c r="K41" s="27"/>
    </row>
    <row r="42" spans="2:15" ht="32.25" customHeight="1" x14ac:dyDescent="0.25">
      <c r="K42" s="27"/>
    </row>
    <row r="43" spans="2:15" ht="32.25" customHeight="1" x14ac:dyDescent="0.25">
      <c r="K43" s="27"/>
    </row>
    <row r="45" spans="2:15" ht="32.25" customHeight="1" x14ac:dyDescent="0.25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2026-04-24T06:08:40Z</cp:lastPrinted>
  <dcterms:created xsi:type="dcterms:W3CDTF">2019-12-27T07:37:40Z</dcterms:created>
  <dcterms:modified xsi:type="dcterms:W3CDTF">2026-10-30T07:41:52Z</dcterms:modified>
</cp:coreProperties>
</file>