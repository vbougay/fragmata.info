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9_SEPTEMBER-2026\"/>
    </mc:Choice>
  </mc:AlternateContent>
  <xr:revisionPtr revIDLastSave="0" documentId="8_{BB621BE6-C110-466A-AF21-BA4CCDE26E4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<sst xmlns="http://schemas.openxmlformats.org/spreadsheetml/2006/main" count="149" uniqueCount="109">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</sst>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27.22</c:v>
                </c:pt>
                <c:pt idx="1">
                  <c:v>20.329999999999998</c:v>
                </c:pt>
                <c:pt idx="2">
                  <c:v>10.205</c:v>
                </c:pt>
                <c:pt idx="3">
                  <c:v>9.6430000000000007</c:v>
                </c:pt>
                <c:pt idx="4">
                  <c:v>4.2040000000000006</c:v>
                </c:pt>
                <c:pt idx="5">
                  <c:v>3.7720000000000002</c:v>
                </c:pt>
                <c:pt idx="6">
                  <c:v>1.7420000000000002</c:v>
                </c:pt>
                <c:pt idx="7">
                  <c:v>8.9610000000000003</c:v>
                </c:pt>
                <c:pt idx="8">
                  <c:v>0</c:v>
                </c:pt>
                <c:pt idx="9">
                  <c:v>22.497</c:v>
                </c:pt>
                <c:pt idx="10">
                  <c:v>1.6350000000000002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1.4920000000000002</c:v>
                </c:pt>
                <c:pt idx="14">
                  <c:v>1.038</c:v>
                </c:pt>
                <c:pt idx="15">
                  <c:v>0.84400000000000031</c:v>
                </c:pt>
                <c:pt idx="16">
                  <c:v>0.32200000000000006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4.0000000000000001E-3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43.473999999999997</c:v>
                </c:pt>
                <c:pt idx="1">
                  <c:v>19.126000000000001</c:v>
                </c:pt>
                <c:pt idx="2">
                  <c:v>9.43</c:v>
                </c:pt>
                <c:pt idx="3">
                  <c:v>7.3840000000000003</c:v>
                </c:pt>
                <c:pt idx="4">
                  <c:v>3.7709999999999999</c:v>
                </c:pt>
                <c:pt idx="5">
                  <c:v>4.09</c:v>
                </c:pt>
                <c:pt idx="6">
                  <c:v>2.4119999999999999</c:v>
                </c:pt>
                <c:pt idx="7">
                  <c:v>6.6550000000000002</c:v>
                </c:pt>
                <c:pt idx="8">
                  <c:v>0.28399999999999997</c:v>
                </c:pt>
                <c:pt idx="9">
                  <c:v>2.5499999999999998</c:v>
                </c:pt>
                <c:pt idx="10">
                  <c:v>1.4590000000000001</c:v>
                </c:pt>
                <c:pt idx="11">
                  <c:v>0.65</c:v>
                </c:pt>
                <c:pt idx="12">
                  <c:v>1.2569999999999999</c:v>
                </c:pt>
                <c:pt idx="13">
                  <c:v>1.1040000000000001</c:v>
                </c:pt>
                <c:pt idx="14">
                  <c:v>0.46100000000000002</c:v>
                </c:pt>
                <c:pt idx="15">
                  <c:v>0.53400000000000003</c:v>
                </c:pt>
                <c:pt idx="16">
                  <c:v>0.34899999999999998</c:v>
                </c:pt>
                <c:pt idx="17">
                  <c:v>0.14099999999999999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3.0700000000000003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1.1120000000000003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1.3660000000000003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E17" sqref="E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4">
        <v>46290</v>
      </c>
      <c r="M10" s="205"/>
      <c r="S10" s="49"/>
    </row>
    <row r="11" spans="2:19" ht="19.5" thickTop="1" x14ac:dyDescent="0.3">
      <c r="B11" s="93"/>
      <c r="C11" s="94"/>
      <c r="D11" s="94"/>
      <c r="E11" s="95"/>
      <c r="F11" s="206" t="s">
        <v>63</v>
      </c>
      <c r="G11" s="207"/>
      <c r="H11" s="208" t="s">
        <v>64</v>
      </c>
      <c r="I11" s="208"/>
      <c r="J11" s="208"/>
      <c r="K11" s="209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10" t="s">
        <v>67</v>
      </c>
      <c r="G12" s="211"/>
      <c r="H12" s="212" t="s">
        <v>68</v>
      </c>
      <c r="I12" s="213"/>
      <c r="J12" s="212" t="s">
        <v>69</v>
      </c>
      <c r="K12" s="213"/>
      <c r="L12" s="101" t="s">
        <v>70</v>
      </c>
      <c r="M12" s="102"/>
    </row>
    <row r="13" spans="2:19" ht="20.25" x14ac:dyDescent="0.3">
      <c r="B13" s="186" t="s">
        <v>0</v>
      </c>
      <c r="C13" s="187"/>
      <c r="D13" s="188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189" t="s">
        <v>79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80</v>
      </c>
      <c r="C17" s="193"/>
      <c r="D17" s="194"/>
      <c r="E17" s="3">
        <v>115</v>
      </c>
      <c r="F17" s="127">
        <v>4.0000000000000001E-3</v>
      </c>
      <c r="G17" s="128">
        <v>27.22</v>
      </c>
      <c r="H17" s="129">
        <v>43.473999999999997</v>
      </c>
      <c r="I17" s="130">
        <v>37.803478260869561</v>
      </c>
      <c r="J17" s="131">
        <v>13.340999999999999</v>
      </c>
      <c r="K17" s="4">
        <v>11.600869565217391</v>
      </c>
      <c r="L17" s="5">
        <v>25.538</v>
      </c>
      <c r="M17" s="132" t="s">
        <v>43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4.2040000000000006</v>
      </c>
      <c r="H18" s="134">
        <v>3.7709999999999999</v>
      </c>
      <c r="I18" s="135">
        <v>22.052631578947366</v>
      </c>
      <c r="J18" s="7">
        <v>2.27</v>
      </c>
      <c r="K18" s="8">
        <v>13.27485380116959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1.7420000000000002</v>
      </c>
      <c r="H19" s="134">
        <v>2.4119999999999999</v>
      </c>
      <c r="I19" s="135">
        <v>17.415162454873645</v>
      </c>
      <c r="J19" s="7">
        <v>2.0670000000000002</v>
      </c>
      <c r="K19" s="8">
        <v>14.924187725631771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0</v>
      </c>
      <c r="G20" s="53">
        <v>3.7720000000000002</v>
      </c>
      <c r="H20" s="134">
        <v>4.09</v>
      </c>
      <c r="I20" s="135">
        <v>26.387096774193548</v>
      </c>
      <c r="J20" s="7">
        <v>3.6509999999999998</v>
      </c>
      <c r="K20" s="8">
        <v>23.554838709677416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0</v>
      </c>
      <c r="G21" s="53">
        <v>8.9610000000000003</v>
      </c>
      <c r="H21" s="134">
        <v>6.6550000000000002</v>
      </c>
      <c r="I21" s="135">
        <v>49.296296296296298</v>
      </c>
      <c r="J21" s="7">
        <v>1.095</v>
      </c>
      <c r="K21" s="8">
        <v>8.1111111111111107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4.0000000000000001E-3</v>
      </c>
      <c r="G22" s="53">
        <v>22.497</v>
      </c>
      <c r="H22" s="134">
        <v>2.5499999999999998</v>
      </c>
      <c r="I22" s="135">
        <v>59.302325581395344</v>
      </c>
      <c r="J22" s="136">
        <v>1.907</v>
      </c>
      <c r="K22" s="8">
        <v>44.348837209302324</v>
      </c>
      <c r="L22" s="5">
        <v>2.734</v>
      </c>
      <c r="M22" s="132" t="s">
        <v>47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0</v>
      </c>
      <c r="G23" s="53">
        <v>1.6350000000000002</v>
      </c>
      <c r="H23" s="134">
        <v>1.4590000000000001</v>
      </c>
      <c r="I23" s="135">
        <v>42.911764705882355</v>
      </c>
      <c r="J23" s="7">
        <v>0.88400000000000001</v>
      </c>
      <c r="K23" s="8">
        <v>26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0.28399999999999997</v>
      </c>
      <c r="I24" s="141">
        <v>4.1764705882352944</v>
      </c>
      <c r="J24" s="142">
        <v>0.16800000000000001</v>
      </c>
      <c r="K24" s="54">
        <v>2.4705882352941178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201" t="s">
        <v>81</v>
      </c>
      <c r="C25" s="202"/>
      <c r="D25" s="203"/>
      <c r="E25" s="55">
        <v>189.45000000000002</v>
      </c>
      <c r="F25" s="144">
        <v>8.0000000000000002E-3</v>
      </c>
      <c r="G25" s="145">
        <v>70.030999999999992</v>
      </c>
      <c r="H25" s="146">
        <v>64.695000000000007</v>
      </c>
      <c r="I25" s="56">
        <v>34.148851939825811</v>
      </c>
      <c r="J25" s="147">
        <v>25.382999999999996</v>
      </c>
      <c r="K25" s="56">
        <v>13.39825811559778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183" t="s">
        <v>82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0</v>
      </c>
      <c r="G27" s="53">
        <v>20.329999999999998</v>
      </c>
      <c r="H27" s="134">
        <v>19.126000000000001</v>
      </c>
      <c r="I27" s="135">
        <v>36.517422434367546</v>
      </c>
      <c r="J27" s="7">
        <v>5.7539999999999996</v>
      </c>
      <c r="K27" s="8">
        <v>10.986157517899761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0</v>
      </c>
      <c r="G28" s="53">
        <v>9.6430000000000007</v>
      </c>
      <c r="H28" s="134">
        <v>7.3840000000000003</v>
      </c>
      <c r="I28" s="135">
        <v>43.010251630941291</v>
      </c>
      <c r="J28" s="7">
        <v>2.3580000000000001</v>
      </c>
      <c r="K28" s="8">
        <v>13.734855545200375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0</v>
      </c>
      <c r="G29" s="53">
        <v>0.95100000000000007</v>
      </c>
      <c r="H29" s="134">
        <v>0.65</v>
      </c>
      <c r="I29" s="135">
        <v>29.816513761467888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201" t="s">
        <v>81</v>
      </c>
      <c r="C30" s="202"/>
      <c r="D30" s="203"/>
      <c r="E30" s="55">
        <v>71.723000000000013</v>
      </c>
      <c r="F30" s="144">
        <v>0</v>
      </c>
      <c r="G30" s="149">
        <v>30.923999999999999</v>
      </c>
      <c r="H30" s="146">
        <v>27.16</v>
      </c>
      <c r="I30" s="56">
        <v>37.86790848124032</v>
      </c>
      <c r="J30" s="147">
        <v>8.1120000000000001</v>
      </c>
      <c r="K30" s="56">
        <v>11.310179440346888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183" t="s">
        <v>83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0</v>
      </c>
      <c r="G32" s="53">
        <v>10.205</v>
      </c>
      <c r="H32" s="134">
        <v>9.43</v>
      </c>
      <c r="I32" s="135">
        <v>39.291666666666664</v>
      </c>
      <c r="J32" s="7">
        <v>3.1970000000000001</v>
      </c>
      <c r="K32" s="8">
        <v>13.320833333333335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0</v>
      </c>
      <c r="G33" s="53">
        <v>1.038</v>
      </c>
      <c r="H33" s="134">
        <v>0.46100000000000002</v>
      </c>
      <c r="I33" s="135">
        <v>46.565656565656568</v>
      </c>
      <c r="J33" s="7">
        <v>4.0000000000000001E-3</v>
      </c>
      <c r="K33" s="8">
        <v>0.40404040404040403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0</v>
      </c>
      <c r="G34" s="53">
        <v>0.84400000000000031</v>
      </c>
      <c r="H34" s="134">
        <v>0.53400000000000003</v>
      </c>
      <c r="I34" s="135">
        <v>62.093023255813961</v>
      </c>
      <c r="J34" s="7">
        <v>0.124</v>
      </c>
      <c r="K34" s="8">
        <v>14.418604651162791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0</v>
      </c>
      <c r="G35" s="53">
        <v>0.28200000000000003</v>
      </c>
      <c r="H35" s="134">
        <v>0.14099999999999999</v>
      </c>
      <c r="I35" s="135">
        <v>47.315436241610733</v>
      </c>
      <c r="J35" s="7">
        <v>5.7000000000000002E-2</v>
      </c>
      <c r="K35" s="8">
        <v>19.127516778523489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201" t="s">
        <v>81</v>
      </c>
      <c r="C36" s="202"/>
      <c r="D36" s="203"/>
      <c r="E36" s="55">
        <v>26.147999999999996</v>
      </c>
      <c r="F36" s="144">
        <v>0</v>
      </c>
      <c r="G36" s="149">
        <v>12.369</v>
      </c>
      <c r="H36" s="146">
        <v>10.566000000000001</v>
      </c>
      <c r="I36" s="56">
        <v>40.408444240477294</v>
      </c>
      <c r="J36" s="147">
        <v>3.3820000000000001</v>
      </c>
      <c r="K36" s="56">
        <v>12.934067615113969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183" t="s">
        <v>84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1.7230000000000001</v>
      </c>
      <c r="H38" s="129">
        <v>1.2569999999999999</v>
      </c>
      <c r="I38" s="130">
        <v>74.378698224852073</v>
      </c>
      <c r="J38" s="131">
        <v>7.0000000000000001E-3</v>
      </c>
      <c r="K38" s="4">
        <v>0.41420118343195267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0</v>
      </c>
      <c r="G39" s="53">
        <v>1.4920000000000002</v>
      </c>
      <c r="H39" s="134">
        <v>1.1040000000000001</v>
      </c>
      <c r="I39" s="135">
        <v>77.202797202797214</v>
      </c>
      <c r="J39" s="7">
        <v>4.7E-2</v>
      </c>
      <c r="K39" s="8">
        <v>3.2867132867132867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0.32200000000000006</v>
      </c>
      <c r="H40" s="134">
        <v>0.34899999999999998</v>
      </c>
      <c r="I40" s="135">
        <v>96.143250688705223</v>
      </c>
      <c r="J40" s="7">
        <v>4.4999999999999998E-2</v>
      </c>
      <c r="K40" s="8">
        <v>12.396694214876034</v>
      </c>
      <c r="L40" s="62">
        <v>0.32</v>
      </c>
      <c r="M40" s="143" t="s">
        <v>58</v>
      </c>
    </row>
    <row r="41" spans="2:38" ht="30" customHeight="1" thickBot="1" x14ac:dyDescent="0.35">
      <c r="B41" s="201" t="s">
        <v>81</v>
      </c>
      <c r="C41" s="202"/>
      <c r="D41" s="203"/>
      <c r="E41" s="55">
        <v>3.4830000000000001</v>
      </c>
      <c r="F41" s="144">
        <v>0</v>
      </c>
      <c r="G41" s="149">
        <v>3.5370000000000004</v>
      </c>
      <c r="H41" s="146">
        <v>2.71</v>
      </c>
      <c r="I41" s="56">
        <v>77.806488659201833</v>
      </c>
      <c r="J41" s="147">
        <v>9.9000000000000005E-2</v>
      </c>
      <c r="K41" s="56">
        <v>2.842377260981912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8.0000000000000002E-3</v>
      </c>
      <c r="G43" s="64">
        <v>116.86099999999999</v>
      </c>
      <c r="H43" s="164">
        <v>105.131</v>
      </c>
      <c r="I43" s="165">
        <v>0.36151841102598309</v>
      </c>
      <c r="J43" s="14">
        <v>36.975999999999992</v>
      </c>
      <c r="K43" s="165">
        <v>0.12715093327464541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89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3.0700000000000003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1.1120000000000003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1.3660000000000003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116.861</v>
      </c>
      <c r="Q61" s="13"/>
    </row>
    <row r="62" spans="2:17" ht="30" customHeight="1" thickBot="1" x14ac:dyDescent="0.35">
      <c r="B62" s="227" t="s">
        <v>101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102</v>
      </c>
      <c r="C63" s="215"/>
      <c r="D63" s="216"/>
      <c r="E63" s="74">
        <v>2.8</v>
      </c>
      <c r="F63" s="60">
        <v>0</v>
      </c>
      <c r="G63" s="151">
        <v>2.6580000000000004</v>
      </c>
      <c r="H63" s="152">
        <v>2.2879999999999998</v>
      </c>
      <c r="I63" s="153">
        <v>81.714285714285722</v>
      </c>
      <c r="J63" s="61">
        <v>0.55000000000000004</v>
      </c>
      <c r="K63" s="154">
        <v>19.642857142857146</v>
      </c>
      <c r="L63" s="175">
        <v>1.069</v>
      </c>
      <c r="M63" s="75" t="s">
        <v>103</v>
      </c>
      <c r="O63" s="12"/>
    </row>
    <row r="64" spans="2:17" ht="30" customHeight="1" x14ac:dyDescent="0.35">
      <c r="B64" s="217" t="s">
        <v>104</v>
      </c>
      <c r="C64" s="196"/>
      <c r="D64" s="197"/>
      <c r="E64" s="58">
        <v>2</v>
      </c>
      <c r="F64" s="133">
        <v>0</v>
      </c>
      <c r="G64" s="53">
        <v>1.143</v>
      </c>
      <c r="H64" s="134">
        <v>1.766</v>
      </c>
      <c r="I64" s="135">
        <v>88.3</v>
      </c>
      <c r="J64" s="7">
        <v>1.149</v>
      </c>
      <c r="K64" s="8">
        <v>57.45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218" t="s">
        <v>106</v>
      </c>
      <c r="C65" s="219"/>
      <c r="D65" s="220"/>
      <c r="E65" s="77">
        <v>4.4539999999999997</v>
      </c>
      <c r="F65" s="177">
        <v>0</v>
      </c>
      <c r="G65" s="78">
        <v>2.6360000000000001</v>
      </c>
      <c r="H65" s="178">
        <v>3.8486228955470323</v>
      </c>
      <c r="I65" s="179">
        <v>86.408237439313709</v>
      </c>
      <c r="J65" s="79">
        <v>2.0579999999999998</v>
      </c>
      <c r="K65" s="180">
        <v>46.205657835653348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4.0000000000000001E-3</v>
      </c>
      <c r="G3" s="34">
        <f>'ΙΣΤΟΣΕΛΙΔΑ-GR(4)'!G17</f>
        <v>27.22</v>
      </c>
      <c r="H3" s="35">
        <f>'ΙΣΤΟΣΕΛΙΔΑ-GR(4)'!H17</f>
        <v>43.473999999999997</v>
      </c>
      <c r="I3" s="35">
        <f>'ΙΣΤΟΣΕΛΙΔΑ-GR(4)'!I17</f>
        <v>37.803478260869561</v>
      </c>
      <c r="J3" s="42">
        <f>'ΙΣΤΟΣΕΛΙΔΑ-GR(4)'!J17</f>
        <v>13.340999999999999</v>
      </c>
      <c r="K3" s="42">
        <f>'ΙΣΤΟΣΕΛΙΔΑ-GR(4)'!K17</f>
        <v>11.600869565217391</v>
      </c>
      <c r="L3" s="39">
        <f>'ΙΣΤΟΣΕΛΙΔΑ-GR(4)'!L17</f>
        <v>25.538</v>
      </c>
      <c r="M3" s="34">
        <f>E$21</f>
        <v>290.80400000000003</v>
      </c>
      <c r="N3" s="34">
        <f>H$21</f>
        <v>105.13100000000004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20.329999999999998</v>
      </c>
      <c r="H4" s="35">
        <f>'ΙΣΤΟΣΕΛΙΔΑ-GR(4)'!H27</f>
        <v>19.126000000000001</v>
      </c>
      <c r="I4" s="35">
        <f>'ΙΣΤΟΣΕΛΙΔΑ-GR(4)'!I27</f>
        <v>36.517422434367546</v>
      </c>
      <c r="J4" s="42">
        <f>'ΙΣΤΟΣΕΛΙΔΑ-GR(4)'!J27</f>
        <v>5.7539999999999996</v>
      </c>
      <c r="K4" s="42">
        <f>'ΙΣΤΟΣΕΛΙΔΑ-GR(4)'!K27</f>
        <v>10.986157517899761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105.13100000000004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</v>
      </c>
      <c r="H5" s="35">
        <f>'ΙΣΤΟΣΕΛΙΔΑ-GR(4)'!H32</f>
        <v>9.43</v>
      </c>
      <c r="I5" s="35">
        <f>'ΙΣΤΟΣΕΛΙΔΑ-GR(4)'!I32</f>
        <v>39.291666666666664</v>
      </c>
      <c r="J5" s="42">
        <f>'ΙΣΤΟΣΕΛΙΔΑ-GR(4)'!J32</f>
        <v>3.1970000000000001</v>
      </c>
      <c r="K5" s="42">
        <f>'ΙΣΤΟΣΕΛΙΔΑ-GR(4)'!K32</f>
        <v>13.320833333333335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105.13100000000004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0</v>
      </c>
      <c r="G6" s="34">
        <f>'ΙΣΤΟΣΕΛΙΔΑ-GR(4)'!G28</f>
        <v>9.6430000000000007</v>
      </c>
      <c r="H6" s="35">
        <f>'ΙΣΤΟΣΕΛΙΔΑ-GR(4)'!H28</f>
        <v>7.3840000000000003</v>
      </c>
      <c r="I6" s="35">
        <f>'ΙΣΤΟΣΕΛΙΔΑ-GR(4)'!I28</f>
        <v>43.010251630941291</v>
      </c>
      <c r="J6" s="42">
        <f>'ΙΣΤΟΣΕΛΙΔΑ-GR(4)'!J28</f>
        <v>2.3580000000000001</v>
      </c>
      <c r="K6" s="42">
        <f>'ΙΣΤΟΣΕΛΙΔΑ-GR(4)'!K28</f>
        <v>13.734855545200375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105.13100000000004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4.2040000000000006</v>
      </c>
      <c r="H7" s="35">
        <f>'ΙΣΤΟΣΕΛΙΔΑ-GR(4)'!H18</f>
        <v>3.7709999999999999</v>
      </c>
      <c r="I7" s="35">
        <f>'ΙΣΤΟΣΕΛΙΔΑ-GR(4)'!I18</f>
        <v>22.052631578947366</v>
      </c>
      <c r="J7" s="42">
        <f>'ΙΣΤΟΣΕΛΙΔΑ-GR(4)'!J18</f>
        <v>2.27</v>
      </c>
      <c r="K7" s="42">
        <f>'ΙΣΤΟΣΕΛΙΔΑ-GR(4)'!K18</f>
        <v>13.27485380116959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105.13100000000004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3.7720000000000002</v>
      </c>
      <c r="H8" s="35">
        <f>'ΙΣΤΟΣΕΛΙΔΑ-GR(4)'!H20</f>
        <v>4.09</v>
      </c>
      <c r="I8" s="35">
        <f>'ΙΣΤΟΣΕΛΙΔΑ-GR(4)'!I20</f>
        <v>26.387096774193548</v>
      </c>
      <c r="J8" s="42">
        <f>'ΙΣΤΟΣΕΛΙΔΑ-GR(4)'!J20</f>
        <v>3.6509999999999998</v>
      </c>
      <c r="K8" s="42">
        <f>'ΙΣΤΟΣΕΛΙΔΑ-GR(4)'!K20</f>
        <v>23.554838709677416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105.13100000000004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1.7420000000000002</v>
      </c>
      <c r="H9" s="35">
        <f>'ΙΣΤΟΣΕΛΙΔΑ-GR(4)'!H19</f>
        <v>2.4119999999999999</v>
      </c>
      <c r="I9" s="35">
        <f>'ΙΣΤΟΣΕΛΙΔΑ-GR(4)'!I19</f>
        <v>17.415162454873645</v>
      </c>
      <c r="J9" s="42">
        <f>'ΙΣΤΟΣΕΛΙΔΑ-GR(4)'!J19</f>
        <v>2.0670000000000002</v>
      </c>
      <c r="K9" s="42">
        <f>'ΙΣΤΟΣΕΛΙΔΑ-GR(4)'!K19</f>
        <v>14.924187725631771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105.13100000000004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8.9610000000000003</v>
      </c>
      <c r="H10" s="35">
        <f>'ΙΣΤΟΣΕΛΙΔΑ-GR(4)'!H21</f>
        <v>6.6550000000000002</v>
      </c>
      <c r="I10" s="35">
        <f>'ΙΣΤΟΣΕΛΙΔΑ-GR(4)'!I21</f>
        <v>49.296296296296298</v>
      </c>
      <c r="J10" s="42">
        <f>'ΙΣΤΟΣΕΛΙΔΑ-GR(4)'!J21</f>
        <v>1.095</v>
      </c>
      <c r="K10" s="42">
        <f>'ΙΣΤΟΣΕΛΙΔΑ-GR(4)'!K21</f>
        <v>8.1111111111111107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105.13100000000004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0.28399999999999997</v>
      </c>
      <c r="I11" s="35">
        <f>'ΙΣΤΟΣΕΛΙΔΑ-GR(4)'!I24</f>
        <v>4.1764705882352944</v>
      </c>
      <c r="J11" s="42">
        <f>'ΙΣΤΟΣΕΛΙΔΑ-GR(4)'!J24</f>
        <v>0.16800000000000001</v>
      </c>
      <c r="K11" s="42">
        <f>'ΙΣΤΟΣΕΛΙΔΑ-GR(4)'!K24</f>
        <v>2.4705882352941178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105.13100000000004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4.0000000000000001E-3</v>
      </c>
      <c r="G12" s="34">
        <f>'ΙΣΤΟΣΕΛΙΔΑ-GR(4)'!G22</f>
        <v>22.497</v>
      </c>
      <c r="H12" s="35">
        <f>'ΙΣΤΟΣΕΛΙΔΑ-GR(4)'!H22</f>
        <v>2.5499999999999998</v>
      </c>
      <c r="I12" s="35">
        <f>'ΙΣΤΟΣΕΛΙΔΑ-GR(4)'!I22</f>
        <v>59.302325581395344</v>
      </c>
      <c r="J12" s="42">
        <f>'ΙΣΤΟΣΕΛΙΔΑ-GR(4)'!J22</f>
        <v>1.907</v>
      </c>
      <c r="K12" s="42">
        <f>'ΙΣΤΟΣΕΛΙΔΑ-GR(4)'!K22</f>
        <v>44.348837209302324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105.13100000000004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1.6350000000000002</v>
      </c>
      <c r="H13" s="35">
        <f>'ΙΣΤΟΣΕΛΙΔΑ-GR(4)'!H23</f>
        <v>1.4590000000000001</v>
      </c>
      <c r="I13" s="35">
        <f>'ΙΣΤΟΣΕΛΙΔΑ-GR(4)'!I23</f>
        <v>42.911764705882355</v>
      </c>
      <c r="J13" s="42">
        <f>'ΙΣΤΟΣΕΛΙΔΑ-GR(4)'!J23</f>
        <v>0.88400000000000001</v>
      </c>
      <c r="K13" s="42">
        <f>'ΙΣΤΟΣΕΛΙΔΑ-GR(4)'!K23</f>
        <v>26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105.13100000000004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0.65</v>
      </c>
      <c r="I14" s="35">
        <f>'ΙΣΤΟΣΕΛΙΔΑ-GR(4)'!I29</f>
        <v>29.816513761467888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105.13100000000004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1.2569999999999999</v>
      </c>
      <c r="I15" s="35">
        <f>'ΙΣΤΟΣΕΛΙΔΑ-GR(4)'!I38</f>
        <v>74.378698224852073</v>
      </c>
      <c r="J15" s="42">
        <f>'ΙΣΤΟΣΕΛΙΔΑ-GR(4)'!J38</f>
        <v>7.0000000000000001E-3</v>
      </c>
      <c r="K15" s="42">
        <f>'ΙΣΤΟΣΕΛΙΔΑ-GR(4)'!K38</f>
        <v>0.41420118343195267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105.13100000000004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1.4920000000000002</v>
      </c>
      <c r="H16" s="35">
        <f>'ΙΣΤΟΣΕΛΙΔΑ-GR(4)'!H39</f>
        <v>1.1040000000000001</v>
      </c>
      <c r="I16" s="35">
        <f>'ΙΣΤΟΣΕΛΙΔΑ-GR(4)'!I39</f>
        <v>77.202797202797214</v>
      </c>
      <c r="J16" s="42">
        <f>'ΙΣΤΟΣΕΛΙΔΑ-GR(4)'!J39</f>
        <v>4.7E-2</v>
      </c>
      <c r="K16" s="42">
        <f>'ΙΣΤΟΣΕΛΙΔΑ-GR(4)'!K39</f>
        <v>3.2867132867132867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105.13100000000004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0.46100000000000002</v>
      </c>
      <c r="I17" s="35">
        <f>'ΙΣΤΟΣΕΛΙΔΑ-GR(4)'!I33</f>
        <v>46.565656565656568</v>
      </c>
      <c r="J17" s="42">
        <f>'ΙΣΤΟΣΕΛΙΔΑ-GR(4)'!J33</f>
        <v>4.0000000000000001E-3</v>
      </c>
      <c r="K17" s="42">
        <f>'ΙΣΤΟΣΕΛΙΔΑ-GR(4)'!K33</f>
        <v>0.40404040404040403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105.13100000000004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0.84400000000000031</v>
      </c>
      <c r="H18" s="35">
        <f>'ΙΣΤΟΣΕΛΙΔΑ-GR(4)'!H34</f>
        <v>0.53400000000000003</v>
      </c>
      <c r="I18" s="35">
        <f>'ΙΣΤΟΣΕΛΙΔΑ-GR(4)'!I34</f>
        <v>62.093023255813961</v>
      </c>
      <c r="J18" s="42">
        <f>'ΙΣΤΟΣΕΛΙΔΑ-GR(4)'!J34</f>
        <v>0.124</v>
      </c>
      <c r="K18" s="42">
        <f>'ΙΣΤΟΣΕΛΙΔΑ-GR(4)'!K34</f>
        <v>14.418604651162791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105.13100000000004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0.32200000000000006</v>
      </c>
      <c r="H19" s="35">
        <f>'ΙΣΤΟΣΕΛΙΔΑ-GR(4)'!H40</f>
        <v>0.34899999999999998</v>
      </c>
      <c r="I19" s="35">
        <f>'ΙΣΤΟΣΕΛΙΔΑ-GR(4)'!I40</f>
        <v>96.143250688705223</v>
      </c>
      <c r="J19" s="42">
        <f>'ΙΣΤΟΣΕΛΙΔΑ-GR(4)'!J40</f>
        <v>4.4999999999999998E-2</v>
      </c>
      <c r="K19" s="42">
        <f>'ΙΣΤΟΣΕΛΙΔΑ-GR(4)'!K40</f>
        <v>12.396694214876034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105.13100000000004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0.14099999999999999</v>
      </c>
      <c r="I20" s="35">
        <f>'ΙΣΤΟΣΕΛΙΔΑ-GR(4)'!I35</f>
        <v>47.315436241610733</v>
      </c>
      <c r="J20" s="42">
        <f>'ΙΣΤΟΣΕΛΙΔΑ-GR(4)'!J35</f>
        <v>5.7000000000000002E-2</v>
      </c>
      <c r="K20" s="42">
        <f>'ΙΣΤΟΣΕΛΙΔΑ-GR(4)'!K35</f>
        <v>19.127516778523489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105.13100000000004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8.0000000000000002E-3</v>
      </c>
      <c r="G21" s="36">
        <f>SUM(G3:G20)</f>
        <v>116.861</v>
      </c>
      <c r="H21" s="35">
        <f>SUM(H3:H20)</f>
        <v>105.13100000000004</v>
      </c>
      <c r="I21" s="37">
        <f>H21/E21</f>
        <v>0.36151841102598326</v>
      </c>
      <c r="J21" s="43">
        <f>SUM(J3:J20)</f>
        <v>36.975999999999992</v>
      </c>
      <c r="K21" s="44">
        <f>J21/E21</f>
        <v>0.12715093327464541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105.13100000000004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3.0700000000000003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1.1120000000000003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1.3660000000000003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116.861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2026-09-25T06:34:22Z</dcterms:modified>
</cp:coreProperties>
</file>