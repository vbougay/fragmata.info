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CE4EAE08-B77A-42B6-AF7F-3B9B4AEC185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<sst xmlns="http://schemas.openxmlformats.org/spreadsheetml/2006/main" count="149" uniqueCount="109">
  <si>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</si>
  <si>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</si>
  <si>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</si>
  <si>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</si>
  <si>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</si>
  <si>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</si>
  <si>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</si>
  <si>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</si>
  <si>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</si>
  <si>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</si>
  <si>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</si>
  <si>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</si>
  <si>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</si>
  <si>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</si>
  <si>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</si>
  <si>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</si>
  <si>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</si>
  <si>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</si>
  <si>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</si>
  <si>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</si>
  <si>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</si>
  <si>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</si>
  <si>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</si>
  <si>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</si>
  <si>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</si>
  <si>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</si>
  <si>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</si>
  <si>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</si>
  <si>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</si>
  <si>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</si>
  <si>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</si>
  <si>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</si>
  <si>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</si>
  <si>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</si>
  <si>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</si>
  <si>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</si>
  <si>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</si>
  <si>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</si>
  <si>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</si>
  <si>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</si>
  <si>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</si>
  <si>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</si>
  <si>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</si>
  <si>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</si>
  <si>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</si>
  <si>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</si>
  <si>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</si>
  <si>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</si>
  <si>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</si>
  <si>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</si>
  <si>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</si>
  <si>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</si>
  <si>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</si>
  <si>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</si>
  <si>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</si>
  <si>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</si>
  <si>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</si>
  <si>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</si>
  <si>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</si>
  <si>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</si>
  <si>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</si>
  <si>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</si>
  <si>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</si>
  <si>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</si>
  <si>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</si>
  <si>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</si>
  <si>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</si>
  <si>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</si>
  <si>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</si>
  <si>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</si>
  <si>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</si>
  <si>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</si>
  <si>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</si>
  <si>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</si>
  <si>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</si>
  <si>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</si>
  <si>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</si>
  <si>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</si>
  <si>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</si>
  <si>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</si>
  <si>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</si>
  <si>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</si>
  <si>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</si>
  <si>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</si>
  <si>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</si>
  <si>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</si>
  <si>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</si>
  <si>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</si>
  <si>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</si>
  <si>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</si>
  <si>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</si>
  <si>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</si>
  <si>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</si>
  <si>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</si>
  <si>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</si>
  <si>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</si>
  <si>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</si>
  <si>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</si>
  <si>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</si>
  <si>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</si>
  <si>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</si>
  <si>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</si>
  <si>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</si>
  <si>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</si>
  <si>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</si>
  <si>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</si>
  <si>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</si>
  <si>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</si>
  <si>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24ωρο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</si>
</sst>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25.336000000000002</c:v>
                </c:pt>
                <c:pt idx="1">
                  <c:v>20.243000000000002</c:v>
                </c:pt>
                <c:pt idx="2">
                  <c:v>10.205000000000002</c:v>
                </c:pt>
                <c:pt idx="3">
                  <c:v>9.5850000000000026</c:v>
                </c:pt>
                <c:pt idx="4">
                  <c:v>4.1780000000000008</c:v>
                </c:pt>
                <c:pt idx="5">
                  <c:v>3.7430000000000003</c:v>
                </c:pt>
                <c:pt idx="6">
                  <c:v>1.7180000000000004</c:v>
                </c:pt>
                <c:pt idx="7">
                  <c:v>8.9220000000000006</c:v>
                </c:pt>
                <c:pt idx="8">
                  <c:v>0</c:v>
                </c:pt>
                <c:pt idx="9">
                  <c:v>21.940999999999999</c:v>
                </c:pt>
                <c:pt idx="10">
                  <c:v>1.6190000000000002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1.4860000000000002</c:v>
                </c:pt>
                <c:pt idx="14">
                  <c:v>1.038</c:v>
                </c:pt>
                <c:pt idx="15">
                  <c:v>0.84400000000000019</c:v>
                </c:pt>
                <c:pt idx="16">
                  <c:v>0.31100000000000005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3.2000000000000001E-2</c:v>
                </c:pt>
                <c:pt idx="1">
                  <c:v>0</c:v>
                </c:pt>
                <c:pt idx="2">
                  <c:v>0</c:v>
                </c:pt>
                <c:pt idx="3">
                  <c:v>3.0000000000000001E-3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5.0000000000000001E-3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47.817</c:v>
                </c:pt>
                <c:pt idx="1">
                  <c:v>21.606000000000002</c:v>
                </c:pt>
                <c:pt idx="2">
                  <c:v>11.744999999999999</c:v>
                </c:pt>
                <c:pt idx="3">
                  <c:v>8.8019999999999996</c:v>
                </c:pt>
                <c:pt idx="4">
                  <c:v>4.2210000000000001</c:v>
                </c:pt>
                <c:pt idx="5">
                  <c:v>5.7330000000000005</c:v>
                </c:pt>
                <c:pt idx="6">
                  <c:v>2.5550000000000002</c:v>
                </c:pt>
                <c:pt idx="7">
                  <c:v>7.9929999999999994</c:v>
                </c:pt>
                <c:pt idx="8">
                  <c:v>0.13</c:v>
                </c:pt>
                <c:pt idx="9">
                  <c:v>2.2970000000000002</c:v>
                </c:pt>
                <c:pt idx="10">
                  <c:v>1.8129999999999999</c:v>
                </c:pt>
                <c:pt idx="11">
                  <c:v>1.7589999999999999</c:v>
                </c:pt>
                <c:pt idx="12">
                  <c:v>1.6060000000000001</c:v>
                </c:pt>
                <c:pt idx="13">
                  <c:v>1.3879999999999999</c:v>
                </c:pt>
                <c:pt idx="14">
                  <c:v>0.95399999999999996</c:v>
                </c:pt>
                <c:pt idx="15">
                  <c:v>0.83199999999999996</c:v>
                </c:pt>
                <c:pt idx="16">
                  <c:v>0.36299999999999999</c:v>
                </c:pt>
                <c:pt idx="17">
                  <c:v>0.25700000000000001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2.8120000000000007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11</xdr:col>
      <xdr:colOff>982541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CBB9B952-3633-473E-B828-D181078A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46199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63</v>
      </c>
      <c r="G11" s="212"/>
      <c r="H11" s="213" t="s">
        <v>64</v>
      </c>
      <c r="I11" s="213"/>
      <c r="J11" s="213"/>
      <c r="K11" s="214"/>
      <c r="L11" s="96" t="s">
        <v>65</v>
      </c>
      <c r="M11" s="97"/>
    </row>
    <row r="12" spans="2:19" ht="18.75" x14ac:dyDescent="0.3">
      <c r="B12" s="98"/>
      <c r="C12" s="99"/>
      <c r="D12" s="99"/>
      <c r="E12" s="100" t="s">
        <v>66</v>
      </c>
      <c r="F12" s="215" t="s">
        <v>67</v>
      </c>
      <c r="G12" s="216"/>
      <c r="H12" s="217" t="s">
        <v>68</v>
      </c>
      <c r="I12" s="218"/>
      <c r="J12" s="217" t="s">
        <v>69</v>
      </c>
      <c r="K12" s="218"/>
      <c r="L12" s="101" t="s">
        <v>70</v>
      </c>
      <c r="M12" s="102"/>
    </row>
    <row r="13" spans="2:19" ht="20.25" x14ac:dyDescent="0.3">
      <c r="B13" s="219" t="s">
        <v>0</v>
      </c>
      <c r="C13" s="220"/>
      <c r="D13" s="221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 x14ac:dyDescent="0.3">
      <c r="B16" s="222" t="s">
        <v>79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80</v>
      </c>
      <c r="C17" s="204"/>
      <c r="D17" s="205"/>
      <c r="E17" s="3">
        <v>115</v>
      </c>
      <c r="F17" s="127">
        <v>3.2000000000000001E-2</v>
      </c>
      <c r="G17" s="128">
        <v>25.336000000000002</v>
      </c>
      <c r="H17" s="129">
        <v>47.817</v>
      </c>
      <c r="I17" s="130">
        <v>41.58</v>
      </c>
      <c r="J17" s="131">
        <v>19.312999999999999</v>
      </c>
      <c r="K17" s="4">
        <v>16.793913043478259</v>
      </c>
      <c r="L17" s="5">
        <v>25.538</v>
      </c>
      <c r="M17" s="132" t="s">
        <v>43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0</v>
      </c>
      <c r="G18" s="53">
        <v>4.1780000000000008</v>
      </c>
      <c r="H18" s="134">
        <v>4.2210000000000001</v>
      </c>
      <c r="I18" s="135">
        <v>24.684210526315788</v>
      </c>
      <c r="J18" s="7">
        <v>3.5419999999999998</v>
      </c>
      <c r="K18" s="8">
        <v>20.71345029239766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0</v>
      </c>
      <c r="G19" s="53">
        <v>1.7180000000000004</v>
      </c>
      <c r="H19" s="134">
        <v>2.5550000000000002</v>
      </c>
      <c r="I19" s="135">
        <v>18.447653429602891</v>
      </c>
      <c r="J19" s="7">
        <v>2.3149999999999999</v>
      </c>
      <c r="K19" s="8">
        <v>16.714801444043321</v>
      </c>
      <c r="L19" s="5">
        <v>5.6509999999999998</v>
      </c>
      <c r="M19" s="132" t="s">
        <v>44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0</v>
      </c>
      <c r="G20" s="53">
        <v>3.7430000000000003</v>
      </c>
      <c r="H20" s="134">
        <v>5.7330000000000005</v>
      </c>
      <c r="I20" s="135">
        <v>36.987096774193553</v>
      </c>
      <c r="J20" s="7">
        <v>5.508</v>
      </c>
      <c r="K20" s="8">
        <v>35.535483870967745</v>
      </c>
      <c r="L20" s="5">
        <v>5.9939999999999998</v>
      </c>
      <c r="M20" s="132" t="s">
        <v>45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5.0000000000000001E-3</v>
      </c>
      <c r="G21" s="53">
        <v>8.9220000000000006</v>
      </c>
      <c r="H21" s="134">
        <v>7.9929999999999994</v>
      </c>
      <c r="I21" s="135">
        <v>59.207407407407409</v>
      </c>
      <c r="J21" s="7">
        <v>2.5649999999999999</v>
      </c>
      <c r="K21" s="8">
        <v>19</v>
      </c>
      <c r="L21" s="5">
        <v>3.7949999999999999</v>
      </c>
      <c r="M21" s="132" t="s">
        <v>46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0.02</v>
      </c>
      <c r="G22" s="53">
        <v>21.940999999999999</v>
      </c>
      <c r="H22" s="134">
        <v>2.2970000000000002</v>
      </c>
      <c r="I22" s="135">
        <v>53.418604651162795</v>
      </c>
      <c r="J22" s="136">
        <v>2.528</v>
      </c>
      <c r="K22" s="8">
        <v>58.79069767441861</v>
      </c>
      <c r="L22" s="5">
        <v>2.734</v>
      </c>
      <c r="M22" s="132" t="s">
        <v>47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0</v>
      </c>
      <c r="G23" s="53">
        <v>1.6190000000000002</v>
      </c>
      <c r="H23" s="134">
        <v>1.8129999999999999</v>
      </c>
      <c r="I23" s="135">
        <v>53.323529411764703</v>
      </c>
      <c r="J23" s="7">
        <v>1.1160000000000001</v>
      </c>
      <c r="K23" s="8">
        <v>32.82352941176471</v>
      </c>
      <c r="L23" s="5">
        <v>1.393</v>
      </c>
      <c r="M23" s="132" t="s">
        <v>40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0.13</v>
      </c>
      <c r="I24" s="141">
        <v>1.911764705882353</v>
      </c>
      <c r="J24" s="142">
        <v>0.41499999999999998</v>
      </c>
      <c r="K24" s="54">
        <v>6.1029411764705879</v>
      </c>
      <c r="L24" s="5">
        <v>1.9650000000000001</v>
      </c>
      <c r="M24" s="143" t="s">
        <v>48</v>
      </c>
      <c r="N24" s="9"/>
    </row>
    <row r="25" spans="2:48" ht="23.25" customHeight="1" thickBot="1" x14ac:dyDescent="0.35">
      <c r="B25" s="193" t="s">
        <v>81</v>
      </c>
      <c r="C25" s="194"/>
      <c r="D25" s="195"/>
      <c r="E25" s="55">
        <v>189.45000000000002</v>
      </c>
      <c r="F25" s="144">
        <v>5.6999999999999995E-2</v>
      </c>
      <c r="G25" s="145">
        <v>67.457000000000008</v>
      </c>
      <c r="H25" s="146">
        <v>72.558999999999983</v>
      </c>
      <c r="I25" s="56">
        <v>38.299815254684603</v>
      </c>
      <c r="J25" s="147">
        <v>37.301999999999992</v>
      </c>
      <c r="K25" s="56">
        <v>19.689627870150431</v>
      </c>
      <c r="L25" s="57">
        <v>48.933999999999997</v>
      </c>
      <c r="M25" s="148" t="s">
        <v>49</v>
      </c>
      <c r="O25" s="2"/>
    </row>
    <row r="26" spans="2:48" ht="19.5" customHeight="1" x14ac:dyDescent="0.3">
      <c r="B26" s="206" t="s">
        <v>82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0</v>
      </c>
      <c r="G27" s="53">
        <v>20.243000000000002</v>
      </c>
      <c r="H27" s="134">
        <v>21.606000000000002</v>
      </c>
      <c r="I27" s="135">
        <v>41.252505966587115</v>
      </c>
      <c r="J27" s="7">
        <v>10.238</v>
      </c>
      <c r="K27" s="8">
        <v>19.547494033412889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3.0000000000000001E-3</v>
      </c>
      <c r="G28" s="53">
        <v>9.5850000000000026</v>
      </c>
      <c r="H28" s="134">
        <v>8.8019999999999996</v>
      </c>
      <c r="I28" s="135">
        <v>51.269804287045659</v>
      </c>
      <c r="J28" s="7">
        <v>3.649</v>
      </c>
      <c r="K28" s="8">
        <v>21.254659832246041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0</v>
      </c>
      <c r="G29" s="53">
        <v>0.95100000000000007</v>
      </c>
      <c r="H29" s="134">
        <v>1.7589999999999999</v>
      </c>
      <c r="I29" s="135">
        <v>80.688073394495405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 x14ac:dyDescent="0.35">
      <c r="B30" s="193" t="s">
        <v>81</v>
      </c>
      <c r="C30" s="194"/>
      <c r="D30" s="195"/>
      <c r="E30" s="55">
        <v>71.723000000000013</v>
      </c>
      <c r="F30" s="144">
        <v>3.0000000000000001E-3</v>
      </c>
      <c r="G30" s="149">
        <v>30.779000000000003</v>
      </c>
      <c r="H30" s="146">
        <v>32.167000000000002</v>
      </c>
      <c r="I30" s="56">
        <v>44.848932699413012</v>
      </c>
      <c r="J30" s="147">
        <v>13.887</v>
      </c>
      <c r="K30" s="56">
        <v>19.361989877724017</v>
      </c>
      <c r="L30" s="57">
        <v>21.739000000000001</v>
      </c>
      <c r="M30" s="148" t="s">
        <v>50</v>
      </c>
      <c r="O30" s="2"/>
    </row>
    <row r="31" spans="2:48" ht="25.5" customHeight="1" x14ac:dyDescent="0.3">
      <c r="B31" s="206" t="s">
        <v>83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0</v>
      </c>
      <c r="G32" s="53">
        <v>10.205000000000002</v>
      </c>
      <c r="H32" s="134">
        <v>11.744999999999999</v>
      </c>
      <c r="I32" s="135">
        <v>48.937499999999993</v>
      </c>
      <c r="J32" s="7">
        <v>4.968</v>
      </c>
      <c r="K32" s="8">
        <v>20.7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1.038</v>
      </c>
      <c r="H33" s="134">
        <v>0.95399999999999996</v>
      </c>
      <c r="I33" s="135">
        <v>96.36363636363636</v>
      </c>
      <c r="J33" s="7">
        <v>0.253</v>
      </c>
      <c r="K33" s="8">
        <v>25.555555555555554</v>
      </c>
      <c r="L33" s="10">
        <v>0.39100000000000001</v>
      </c>
      <c r="M33" s="132" t="s">
        <v>53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0</v>
      </c>
      <c r="G34" s="53">
        <v>0.84400000000000019</v>
      </c>
      <c r="H34" s="134">
        <v>0.83199999999999996</v>
      </c>
      <c r="I34" s="135">
        <v>96.744186046511629</v>
      </c>
      <c r="J34" s="7">
        <v>0.26600000000000001</v>
      </c>
      <c r="K34" s="8">
        <v>30.930232558139537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0</v>
      </c>
      <c r="G35" s="53">
        <v>0.28200000000000003</v>
      </c>
      <c r="H35" s="134">
        <v>0.25700000000000001</v>
      </c>
      <c r="I35" s="135">
        <v>86.241610738255034</v>
      </c>
      <c r="J35" s="7">
        <v>9.4E-2</v>
      </c>
      <c r="K35" s="8">
        <v>31.543624161073826</v>
      </c>
      <c r="L35" s="10">
        <v>0.17699999999999999</v>
      </c>
      <c r="M35" s="143" t="s">
        <v>55</v>
      </c>
      <c r="O35" s="2"/>
      <c r="Q35" s="12"/>
    </row>
    <row r="36" spans="2:38" ht="23.25" customHeight="1" thickBot="1" x14ac:dyDescent="0.35">
      <c r="B36" s="193" t="s">
        <v>81</v>
      </c>
      <c r="C36" s="194"/>
      <c r="D36" s="195"/>
      <c r="E36" s="55">
        <v>26.147999999999996</v>
      </c>
      <c r="F36" s="144">
        <v>0</v>
      </c>
      <c r="G36" s="149">
        <v>12.369000000000002</v>
      </c>
      <c r="H36" s="146">
        <v>13.788</v>
      </c>
      <c r="I36" s="56">
        <v>52.730610371730158</v>
      </c>
      <c r="J36" s="147">
        <v>5.5810000000000004</v>
      </c>
      <c r="K36" s="56">
        <v>21.343888633929943</v>
      </c>
      <c r="L36" s="57">
        <v>7.0609999999999999</v>
      </c>
      <c r="M36" s="148" t="s">
        <v>52</v>
      </c>
      <c r="O36" s="2"/>
    </row>
    <row r="37" spans="2:38" ht="23.25" customHeight="1" x14ac:dyDescent="0.3">
      <c r="B37" s="206" t="s">
        <v>84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1.7230000000000001</v>
      </c>
      <c r="H38" s="129">
        <v>1.6060000000000001</v>
      </c>
      <c r="I38" s="130">
        <v>95.029585798816569</v>
      </c>
      <c r="J38" s="131">
        <v>2.1999999999999999E-2</v>
      </c>
      <c r="K38" s="4">
        <v>1.3017751479289941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0</v>
      </c>
      <c r="G39" s="53">
        <v>1.4860000000000002</v>
      </c>
      <c r="H39" s="134">
        <v>1.3879999999999999</v>
      </c>
      <c r="I39" s="135">
        <v>97.062937062937067</v>
      </c>
      <c r="J39" s="7">
        <v>0.22</v>
      </c>
      <c r="K39" s="8">
        <v>15.384615384615385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0.31100000000000005</v>
      </c>
      <c r="H40" s="134">
        <v>0.36299999999999999</v>
      </c>
      <c r="I40" s="135">
        <v>100</v>
      </c>
      <c r="J40" s="7">
        <v>0.214</v>
      </c>
      <c r="K40" s="8">
        <v>58.953168044077131</v>
      </c>
      <c r="L40" s="62">
        <v>0.32</v>
      </c>
      <c r="M40" s="143" t="s">
        <v>58</v>
      </c>
    </row>
    <row r="41" spans="2:38" ht="30" customHeight="1" thickBot="1" x14ac:dyDescent="0.35">
      <c r="B41" s="193" t="s">
        <v>81</v>
      </c>
      <c r="C41" s="194"/>
      <c r="D41" s="195"/>
      <c r="E41" s="55">
        <v>3.4830000000000001</v>
      </c>
      <c r="F41" s="144">
        <v>0</v>
      </c>
      <c r="G41" s="149">
        <v>3.5200000000000005</v>
      </c>
      <c r="H41" s="146">
        <v>3.3569999999999998</v>
      </c>
      <c r="I41" s="56">
        <v>96.38242894056846</v>
      </c>
      <c r="J41" s="147">
        <v>0.45599999999999996</v>
      </c>
      <c r="K41" s="56">
        <v>13.09216192937123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0.06</v>
      </c>
      <c r="G43" s="64">
        <v>114.12500000000001</v>
      </c>
      <c r="H43" s="164">
        <v>121.87099999999998</v>
      </c>
      <c r="I43" s="165">
        <v>0.41908295621793362</v>
      </c>
      <c r="J43" s="14">
        <v>57.225999999999999</v>
      </c>
      <c r="K43" s="165">
        <v>0.19678546374877923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85</v>
      </c>
      <c r="O44" s="2"/>
    </row>
    <row r="45" spans="2:38" ht="26.25" customHeight="1" x14ac:dyDescent="0.35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 x14ac:dyDescent="0.3">
      <c r="B46" s="12" t="s">
        <v>88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89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 x14ac:dyDescent="0.35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 x14ac:dyDescent="0.35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 x14ac:dyDescent="0.35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 x14ac:dyDescent="0.35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 x14ac:dyDescent="0.35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 x14ac:dyDescent="0.35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 x14ac:dyDescent="0.35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 x14ac:dyDescent="0.35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 x14ac:dyDescent="0.35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2.8120000000000007</v>
      </c>
    </row>
    <row r="59" spans="2:17" ht="30" customHeight="1" x14ac:dyDescent="0.35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0</v>
      </c>
    </row>
    <row r="60" spans="2:17" ht="30" customHeight="1" thickBot="1" x14ac:dyDescent="0.4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0</v>
      </c>
    </row>
    <row r="61" spans="2:17" ht="30" customHeight="1" thickBot="1" x14ac:dyDescent="0.4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114.12500000000001</v>
      </c>
      <c r="Q61" s="13"/>
    </row>
    <row r="62" spans="2:17" ht="30" customHeight="1" thickBot="1" x14ac:dyDescent="0.35">
      <c r="B62" s="202" t="s">
        <v>101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102</v>
      </c>
      <c r="C63" s="184"/>
      <c r="D63" s="185"/>
      <c r="E63" s="74">
        <v>2.8</v>
      </c>
      <c r="F63" s="60">
        <v>0</v>
      </c>
      <c r="G63" s="151">
        <v>2.6580000000000004</v>
      </c>
      <c r="H63" s="152">
        <v>2.7789999999999999</v>
      </c>
      <c r="I63" s="153">
        <v>99.25</v>
      </c>
      <c r="J63" s="61">
        <v>0.84099999999999997</v>
      </c>
      <c r="K63" s="154">
        <v>30.035714285714288</v>
      </c>
      <c r="L63" s="175">
        <v>1.069</v>
      </c>
      <c r="M63" s="75" t="s">
        <v>103</v>
      </c>
      <c r="O63" s="12"/>
    </row>
    <row r="64" spans="2:17" ht="30" customHeight="1" x14ac:dyDescent="0.35">
      <c r="B64" s="186" t="s">
        <v>104</v>
      </c>
      <c r="C64" s="187"/>
      <c r="D64" s="188"/>
      <c r="E64" s="58">
        <v>2</v>
      </c>
      <c r="F64" s="133">
        <v>1E-3</v>
      </c>
      <c r="G64" s="53">
        <v>1.139</v>
      </c>
      <c r="H64" s="134">
        <v>2</v>
      </c>
      <c r="I64" s="135">
        <v>100</v>
      </c>
      <c r="J64" s="7">
        <v>1.369</v>
      </c>
      <c r="K64" s="8">
        <v>68.45</v>
      </c>
      <c r="L64" s="176">
        <v>1.4730000000000001</v>
      </c>
      <c r="M64" s="76" t="s">
        <v>105</v>
      </c>
      <c r="O64" s="12"/>
    </row>
    <row r="65" spans="2:15" ht="30" customHeight="1" thickBot="1" x14ac:dyDescent="0.4">
      <c r="B65" s="189" t="s">
        <v>106</v>
      </c>
      <c r="C65" s="190"/>
      <c r="D65" s="191"/>
      <c r="E65" s="77">
        <v>4.4539999999999997</v>
      </c>
      <c r="F65" s="177">
        <v>0</v>
      </c>
      <c r="G65" s="78">
        <v>2.6360000000000001</v>
      </c>
      <c r="H65" s="178">
        <v>4.3211723534719946</v>
      </c>
      <c r="I65" s="179">
        <v>97.017789705253591</v>
      </c>
      <c r="J65" s="79">
        <v>2.5659999999999998</v>
      </c>
      <c r="K65" s="180">
        <v>57.611136057476429</v>
      </c>
      <c r="L65" s="181">
        <v>3.012</v>
      </c>
      <c r="M65" s="80" t="s">
        <v>103</v>
      </c>
      <c r="O65" s="12"/>
    </row>
    <row r="66" spans="2:15" ht="19.5" customHeight="1" x14ac:dyDescent="0.3">
      <c r="B66" s="182" t="s">
        <v>107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3.2000000000000001E-2</v>
      </c>
      <c r="G3" s="34">
        <f>'ΙΣΤΟΣΕΛΙΔΑ-GR(4)'!G17</f>
        <v>25.336000000000002</v>
      </c>
      <c r="H3" s="35">
        <f>'ΙΣΤΟΣΕΛΙΔΑ-GR(4)'!H17</f>
        <v>47.817</v>
      </c>
      <c r="I3" s="35">
        <f>'ΙΣΤΟΣΕΛΙΔΑ-GR(4)'!I17</f>
        <v>41.58</v>
      </c>
      <c r="J3" s="42">
        <f>'ΙΣΤΟΣΕΛΙΔΑ-GR(4)'!J17</f>
        <v>19.312999999999999</v>
      </c>
      <c r="K3" s="42">
        <f>'ΙΣΤΟΣΕΛΙΔΑ-GR(4)'!K17</f>
        <v>16.793913043478259</v>
      </c>
      <c r="L3" s="39">
        <f>'ΙΣΤΟΣΕΛΙΔΑ-GR(4)'!L17</f>
        <v>25.538</v>
      </c>
      <c r="M3" s="34">
        <f>E$21</f>
        <v>290.80400000000003</v>
      </c>
      <c r="N3" s="34">
        <f>H$21</f>
        <v>121.871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20.243000000000002</v>
      </c>
      <c r="H4" s="35">
        <f>'ΙΣΤΟΣΕΛΙΔΑ-GR(4)'!H27</f>
        <v>21.606000000000002</v>
      </c>
      <c r="I4" s="35">
        <f>'ΙΣΤΟΣΕΛΙΔΑ-GR(4)'!I27</f>
        <v>41.252505966587115</v>
      </c>
      <c r="J4" s="42">
        <f>'ΙΣΤΟΣΕΛΙΔΑ-GR(4)'!J27</f>
        <v>10.238</v>
      </c>
      <c r="K4" s="42">
        <f>'ΙΣΤΟΣΕΛΙΔΑ-GR(4)'!K27</f>
        <v>19.547494033412889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121.871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10.205000000000002</v>
      </c>
      <c r="H5" s="35">
        <f>'ΙΣΤΟΣΕΛΙΔΑ-GR(4)'!H32</f>
        <v>11.744999999999999</v>
      </c>
      <c r="I5" s="35">
        <f>'ΙΣΤΟΣΕΛΙΔΑ-GR(4)'!I32</f>
        <v>48.937499999999993</v>
      </c>
      <c r="J5" s="42">
        <f>'ΙΣΤΟΣΕΛΙΔΑ-GR(4)'!J32</f>
        <v>4.968</v>
      </c>
      <c r="K5" s="42">
        <f>'ΙΣΤΟΣΕΛΙΔΑ-GR(4)'!K32</f>
        <v>20.7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121.871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3.0000000000000001E-3</v>
      </c>
      <c r="G6" s="34">
        <f>'ΙΣΤΟΣΕΛΙΔΑ-GR(4)'!G28</f>
        <v>9.5850000000000026</v>
      </c>
      <c r="H6" s="35">
        <f>'ΙΣΤΟΣΕΛΙΔΑ-GR(4)'!H28</f>
        <v>8.8019999999999996</v>
      </c>
      <c r="I6" s="35">
        <f>'ΙΣΤΟΣΕΛΙΔΑ-GR(4)'!I28</f>
        <v>51.269804287045659</v>
      </c>
      <c r="J6" s="42">
        <f>'ΙΣΤΟΣΕΛΙΔΑ-GR(4)'!J28</f>
        <v>3.649</v>
      </c>
      <c r="K6" s="42">
        <f>'ΙΣΤΟΣΕΛΙΔΑ-GR(4)'!K28</f>
        <v>21.254659832246041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121.871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4.1780000000000008</v>
      </c>
      <c r="H7" s="35">
        <f>'ΙΣΤΟΣΕΛΙΔΑ-GR(4)'!H18</f>
        <v>4.2210000000000001</v>
      </c>
      <c r="I7" s="35">
        <f>'ΙΣΤΟΣΕΛΙΔΑ-GR(4)'!I18</f>
        <v>24.684210526315788</v>
      </c>
      <c r="J7" s="42">
        <f>'ΙΣΤΟΣΕΛΙΔΑ-GR(4)'!J18</f>
        <v>3.5419999999999998</v>
      </c>
      <c r="K7" s="42">
        <f>'ΙΣΤΟΣΕΛΙΔΑ-GR(4)'!K18</f>
        <v>20.71345029239766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121.871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3.7430000000000003</v>
      </c>
      <c r="H8" s="35">
        <f>'ΙΣΤΟΣΕΛΙΔΑ-GR(4)'!H20</f>
        <v>5.7330000000000005</v>
      </c>
      <c r="I8" s="35">
        <f>'ΙΣΤΟΣΕΛΙΔΑ-GR(4)'!I20</f>
        <v>36.987096774193553</v>
      </c>
      <c r="J8" s="42">
        <f>'ΙΣΤΟΣΕΛΙΔΑ-GR(4)'!J20</f>
        <v>5.508</v>
      </c>
      <c r="K8" s="42">
        <f>'ΙΣΤΟΣΕΛΙΔΑ-GR(4)'!K20</f>
        <v>35.535483870967745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121.871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1.7180000000000004</v>
      </c>
      <c r="H9" s="35">
        <f>'ΙΣΤΟΣΕΛΙΔΑ-GR(4)'!H19</f>
        <v>2.5550000000000002</v>
      </c>
      <c r="I9" s="35">
        <f>'ΙΣΤΟΣΕΛΙΔΑ-GR(4)'!I19</f>
        <v>18.447653429602891</v>
      </c>
      <c r="J9" s="42">
        <f>'ΙΣΤΟΣΕΛΙΔΑ-GR(4)'!J19</f>
        <v>2.3149999999999999</v>
      </c>
      <c r="K9" s="42">
        <f>'ΙΣΤΟΣΕΛΙΔΑ-GR(4)'!K19</f>
        <v>16.714801444043321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121.871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5.0000000000000001E-3</v>
      </c>
      <c r="G10" s="34">
        <f>'ΙΣΤΟΣΕΛΙΔΑ-GR(4)'!G21</f>
        <v>8.9220000000000006</v>
      </c>
      <c r="H10" s="35">
        <f>'ΙΣΤΟΣΕΛΙΔΑ-GR(4)'!H21</f>
        <v>7.9929999999999994</v>
      </c>
      <c r="I10" s="35">
        <f>'ΙΣΤΟΣΕΛΙΔΑ-GR(4)'!I21</f>
        <v>59.207407407407409</v>
      </c>
      <c r="J10" s="42">
        <f>'ΙΣΤΟΣΕΛΙΔΑ-GR(4)'!J21</f>
        <v>2.5649999999999999</v>
      </c>
      <c r="K10" s="42">
        <f>'ΙΣΤΟΣΕΛΙΔΑ-GR(4)'!K21</f>
        <v>19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121.871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0.13</v>
      </c>
      <c r="I11" s="35">
        <f>'ΙΣΤΟΣΕΛΙΔΑ-GR(4)'!I24</f>
        <v>1.911764705882353</v>
      </c>
      <c r="J11" s="42">
        <f>'ΙΣΤΟΣΕΛΙΔΑ-GR(4)'!J24</f>
        <v>0.41499999999999998</v>
      </c>
      <c r="K11" s="42">
        <f>'ΙΣΤΟΣΕΛΙΔΑ-GR(4)'!K24</f>
        <v>6.1029411764705879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121.871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0.02</v>
      </c>
      <c r="G12" s="34">
        <f>'ΙΣΤΟΣΕΛΙΔΑ-GR(4)'!G22</f>
        <v>21.940999999999999</v>
      </c>
      <c r="H12" s="35">
        <f>'ΙΣΤΟΣΕΛΙΔΑ-GR(4)'!H22</f>
        <v>2.2970000000000002</v>
      </c>
      <c r="I12" s="35">
        <f>'ΙΣΤΟΣΕΛΙΔΑ-GR(4)'!I22</f>
        <v>53.418604651162795</v>
      </c>
      <c r="J12" s="42">
        <f>'ΙΣΤΟΣΕΛΙΔΑ-GR(4)'!J22</f>
        <v>2.528</v>
      </c>
      <c r="K12" s="42">
        <f>'ΙΣΤΟΣΕΛΙΔΑ-GR(4)'!K22</f>
        <v>58.79069767441861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121.871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1.6190000000000002</v>
      </c>
      <c r="H13" s="35">
        <f>'ΙΣΤΟΣΕΛΙΔΑ-GR(4)'!H23</f>
        <v>1.8129999999999999</v>
      </c>
      <c r="I13" s="35">
        <f>'ΙΣΤΟΣΕΛΙΔΑ-GR(4)'!I23</f>
        <v>53.323529411764703</v>
      </c>
      <c r="J13" s="42">
        <f>'ΙΣΤΟΣΕΛΙΔΑ-GR(4)'!J23</f>
        <v>1.1160000000000001</v>
      </c>
      <c r="K13" s="42">
        <f>'ΙΣΤΟΣΕΛΙΔΑ-GR(4)'!K23</f>
        <v>32.82352941176471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121.871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1.7589999999999999</v>
      </c>
      <c r="I14" s="35">
        <f>'ΙΣΤΟΣΕΛΙΔΑ-GR(4)'!I29</f>
        <v>80.688073394495405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121.871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1.6060000000000001</v>
      </c>
      <c r="I15" s="35">
        <f>'ΙΣΤΟΣΕΛΙΔΑ-GR(4)'!I38</f>
        <v>95.029585798816569</v>
      </c>
      <c r="J15" s="42">
        <f>'ΙΣΤΟΣΕΛΙΔΑ-GR(4)'!J38</f>
        <v>2.1999999999999999E-2</v>
      </c>
      <c r="K15" s="42">
        <f>'ΙΣΤΟΣΕΛΙΔΑ-GR(4)'!K38</f>
        <v>1.3017751479289941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121.871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1.4860000000000002</v>
      </c>
      <c r="H16" s="35">
        <f>'ΙΣΤΟΣΕΛΙΔΑ-GR(4)'!H39</f>
        <v>1.3879999999999999</v>
      </c>
      <c r="I16" s="35">
        <f>'ΙΣΤΟΣΕΛΙΔΑ-GR(4)'!I39</f>
        <v>97.062937062937067</v>
      </c>
      <c r="J16" s="42">
        <f>'ΙΣΤΟΣΕΛΙΔΑ-GR(4)'!J39</f>
        <v>0.22</v>
      </c>
      <c r="K16" s="42">
        <f>'ΙΣΤΟΣΕΛΙΔΑ-GR(4)'!K39</f>
        <v>15.384615384615385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121.871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0.95399999999999996</v>
      </c>
      <c r="I17" s="35">
        <f>'ΙΣΤΟΣΕΛΙΔΑ-GR(4)'!I33</f>
        <v>96.36363636363636</v>
      </c>
      <c r="J17" s="42">
        <f>'ΙΣΤΟΣΕΛΙΔΑ-GR(4)'!J33</f>
        <v>0.253</v>
      </c>
      <c r="K17" s="42">
        <f>'ΙΣΤΟΣΕΛΙΔΑ-GR(4)'!K33</f>
        <v>25.555555555555554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121.871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0.84400000000000019</v>
      </c>
      <c r="H18" s="35">
        <f>'ΙΣΤΟΣΕΛΙΔΑ-GR(4)'!H34</f>
        <v>0.83199999999999996</v>
      </c>
      <c r="I18" s="35">
        <f>'ΙΣΤΟΣΕΛΙΔΑ-GR(4)'!I34</f>
        <v>96.744186046511629</v>
      </c>
      <c r="J18" s="42">
        <f>'ΙΣΤΟΣΕΛΙΔΑ-GR(4)'!J34</f>
        <v>0.26600000000000001</v>
      </c>
      <c r="K18" s="42">
        <f>'ΙΣΤΟΣΕΛΙΔΑ-GR(4)'!K34</f>
        <v>30.930232558139537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121.871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0.31100000000000005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0.214</v>
      </c>
      <c r="K19" s="42">
        <f>'ΙΣΤΟΣΕΛΙΔΑ-GR(4)'!K40</f>
        <v>58.953168044077131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121.871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0.25700000000000001</v>
      </c>
      <c r="I20" s="35">
        <f>'ΙΣΤΟΣΕΛΙΔΑ-GR(4)'!I35</f>
        <v>86.241610738255034</v>
      </c>
      <c r="J20" s="42">
        <f>'ΙΣΤΟΣΕΛΙΔΑ-GR(4)'!J35</f>
        <v>9.4E-2</v>
      </c>
      <c r="K20" s="42">
        <f>'ΙΣΤΟΣΕΛΙΔΑ-GR(4)'!K35</f>
        <v>31.543624161073826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121.871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0.06</v>
      </c>
      <c r="G21" s="36">
        <f>SUM(G3:G20)</f>
        <v>114.125</v>
      </c>
      <c r="H21" s="35">
        <f>SUM(H3:H20)</f>
        <v>121.871</v>
      </c>
      <c r="I21" s="37">
        <f>H21/E21</f>
        <v>0.41908295621793368</v>
      </c>
      <c r="J21" s="43">
        <f>SUM(J3:J20)</f>
        <v>57.225999999999992</v>
      </c>
      <c r="K21" s="44">
        <f>J21/E21</f>
        <v>0.1967854637487792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121.871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2.8120000000000007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114.12500000000001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2026-06-26T06:37:16Z</dcterms:modified>
</cp:coreProperties>
</file>