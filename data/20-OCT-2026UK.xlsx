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0C1CD0F8-A9FF-45B5-B05E-73143A8B8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<sst xmlns="http://schemas.openxmlformats.org/spreadsheetml/2006/main" count="149" uniqueCount="108">
  <si>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</si>
  <si>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</si>
  <si>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</si>
  <si>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</si>
  <si>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</si>
  <si>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</si>
  <si>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</si>
  <si>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</si>
  <si>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</si>
  <si>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</si>
  <si>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</si>
  <si>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</si>
  <si>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</si>
  <si>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</si>
  <si>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</si>
  <si>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</si>
  <si>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</si>
  <si>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</si>
  <si>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</si>
  <si>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</si>
  <si>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</si>
  <si>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</si>
  <si>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</si>
  <si>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</si>
  <si>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</si>
  <si>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</si>
  <si>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</si>
  <si>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</si>
  <si>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</si>
  <si>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</si>
  <si>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</si>
  <si>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</si>
  <si>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</si>
  <si>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</si>
  <si>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</si>
  <si>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</si>
  <si>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</si>
  <si>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</si>
  <si>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</si>
  <si>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</si>
  <si>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</si>
  <si>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</si>
  <si>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</si>
  <si>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</si>
  <si>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</si>
  <si>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</si>
  <si>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</si>
  <si>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</si>
  <si>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</si>
  <si>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</si>
  <si>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</si>
  <si>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</si>
  <si>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</si>
  <si>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</si>
  <si>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</si>
  <si>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</si>
  <si>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</si>
  <si>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</si>
  <si>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</si>
  <si>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</si>
  <si>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</si>
  <si>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</si>
  <si>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</si>
  <si>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</si>
  <si>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</si>
  <si>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</si>
  <si>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</si>
  <si>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</si>
  <si>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</si>
  <si>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</si>
  <si>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</si>
  <si>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</si>
  <si>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</si>
  <si>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</si>
  <si>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</si>
  <si>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</si>
  <si>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</si>
  <si>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</si>
  <si>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</si>
  <si>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</si>
  <si>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</si>
  <si>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</si>
  <si>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Κλήρου-Μαλούντα</t>
  </si>
  <si>
    <t>Σολέα</t>
  </si>
  <si>
    <t>ΙΣΤΟΣΕΛΙΔΑ ΤΑΥ www.moa.gov.cy/wdd</t>
  </si>
  <si>
    <t>16/6</t>
  </si>
  <si>
    <t>17/6</t>
  </si>
  <si>
    <t>3/6</t>
  </si>
  <si>
    <t>29/5</t>
  </si>
  <si>
    <t>13/5</t>
  </si>
  <si>
    <t>25/5</t>
  </si>
  <si>
    <t>30/9</t>
  </si>
  <si>
    <t>29,5</t>
  </si>
  <si>
    <t>28/5</t>
  </si>
  <si>
    <t>24/4</t>
  </si>
  <si>
    <t>27/5</t>
  </si>
  <si>
    <t>16/3-29/5</t>
  </si>
  <si>
    <t>16/2-12/6</t>
  </si>
  <si>
    <t>30/3-29/5</t>
  </si>
  <si>
    <t>27/4-26/5</t>
  </si>
  <si>
    <t>23/3-29/5</t>
  </si>
  <si>
    <t>16/1-7/9</t>
  </si>
  <si>
    <t xml:space="preserve">  Μεταφορά νερού από Αρμίνου στο φράγμα Κούρη από  01/10/2026 -</t>
  </si>
  <si>
    <t>26/27</t>
  </si>
  <si>
    <t>2/4-5/6</t>
  </si>
  <si>
    <t>14/2-30/6</t>
  </si>
  <si>
    <t>10/3-2/6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</si>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</sst>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0.56600000000000006</c:v>
                </c:pt>
                <c:pt idx="1">
                  <c:v>9.6000000000000002E-2</c:v>
                </c:pt>
                <c:pt idx="2">
                  <c:v>4.7E-2</c:v>
                </c:pt>
                <c:pt idx="3">
                  <c:v>0.112</c:v>
                </c:pt>
                <c:pt idx="4">
                  <c:v>2.6000000000000002E-2</c:v>
                </c:pt>
                <c:pt idx="5">
                  <c:v>4.2000000000000003E-2</c:v>
                </c:pt>
                <c:pt idx="6">
                  <c:v>1.3000000000000001E-2</c:v>
                </c:pt>
                <c:pt idx="7">
                  <c:v>0.03</c:v>
                </c:pt>
                <c:pt idx="8">
                  <c:v>0</c:v>
                </c:pt>
                <c:pt idx="9">
                  <c:v>0.36599999999999999</c:v>
                </c:pt>
                <c:pt idx="10">
                  <c:v>1.0999999999999999E-2</c:v>
                </c:pt>
                <c:pt idx="11">
                  <c:v>1.9000000000000003E-2</c:v>
                </c:pt>
                <c:pt idx="12">
                  <c:v>1E-3</c:v>
                </c:pt>
                <c:pt idx="13">
                  <c:v>1.1000000000000001E-2</c:v>
                </c:pt>
                <c:pt idx="14">
                  <c:v>1.1000000000000001E-2</c:v>
                </c:pt>
                <c:pt idx="15">
                  <c:v>6.0000000000000001E-3</c:v>
                </c:pt>
                <c:pt idx="16">
                  <c:v>0</c:v>
                </c:pt>
                <c:pt idx="17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4.2000000000000003E-2</c:v>
                </c:pt>
                <c:pt idx="1">
                  <c:v>1.7999999999999999E-2</c:v>
                </c:pt>
                <c:pt idx="2">
                  <c:v>2E-3</c:v>
                </c:pt>
                <c:pt idx="3">
                  <c:v>2E-3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1.7000000000000001E-2</c:v>
                </c:pt>
                <c:pt idx="10">
                  <c:v>0</c:v>
                </c:pt>
                <c:pt idx="11">
                  <c:v>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42.225999999999999</c:v>
                </c:pt>
                <c:pt idx="1">
                  <c:v>18.524000000000001</c:v>
                </c:pt>
                <c:pt idx="2">
                  <c:v>9.2720000000000002</c:v>
                </c:pt>
                <c:pt idx="3">
                  <c:v>7.1639999999999997</c:v>
                </c:pt>
                <c:pt idx="4">
                  <c:v>3.69</c:v>
                </c:pt>
                <c:pt idx="5">
                  <c:v>3.7649999999999997</c:v>
                </c:pt>
                <c:pt idx="6">
                  <c:v>2.3969999999999998</c:v>
                </c:pt>
                <c:pt idx="7">
                  <c:v>6.4169999999999998</c:v>
                </c:pt>
                <c:pt idx="8">
                  <c:v>0.54200000000000004</c:v>
                </c:pt>
                <c:pt idx="9">
                  <c:v>2.855</c:v>
                </c:pt>
                <c:pt idx="10">
                  <c:v>1.4620000000000002</c:v>
                </c:pt>
                <c:pt idx="11">
                  <c:v>0.65300000000000002</c:v>
                </c:pt>
                <c:pt idx="12">
                  <c:v>1.198</c:v>
                </c:pt>
                <c:pt idx="13">
                  <c:v>1.0669999999999999</c:v>
                </c:pt>
                <c:pt idx="14">
                  <c:v>0.441</c:v>
                </c:pt>
                <c:pt idx="15">
                  <c:v>0.50600000000000001</c:v>
                </c:pt>
                <c:pt idx="16">
                  <c:v>0.36299999999999999</c:v>
                </c:pt>
                <c:pt idx="17">
                  <c:v>0.14699999999999999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0.65700000000000003</c:v>
                </c:pt>
                <c:pt idx="1">
                  <c:v>0.61399999999999999</c:v>
                </c:pt>
                <c:pt idx="2">
                  <c:v>0.75700000000000001</c:v>
                </c:pt>
                <c:pt idx="3">
                  <c:v>1.5453236734428304</c:v>
                </c:pt>
                <c:pt idx="4">
                  <c:v>0.94200000000000017</c:v>
                </c:pt>
                <c:pt idx="5">
                  <c:v>0.39700000000000008</c:v>
                </c:pt>
                <c:pt idx="6">
                  <c:v>2.9759999999999995</c:v>
                </c:pt>
                <c:pt idx="7">
                  <c:v>1.5810000000000002</c:v>
                </c:pt>
                <c:pt idx="8">
                  <c:v>3.0839999999999987</c:v>
                </c:pt>
                <c:pt idx="9">
                  <c:v>0.20000000000000004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7.4240000000000004</c:v>
                </c:pt>
                <c:pt idx="1">
                  <c:v>0.88100000000000001</c:v>
                </c:pt>
                <c:pt idx="2">
                  <c:v>16.664999999999999</c:v>
                </c:pt>
                <c:pt idx="3">
                  <c:v>30.495000000000001</c:v>
                </c:pt>
                <c:pt idx="4">
                  <c:v>3.1070000000000007</c:v>
                </c:pt>
                <c:pt idx="5">
                  <c:v>11.922999999999998</c:v>
                </c:pt>
                <c:pt idx="6">
                  <c:v>2.9220000000000006</c:v>
                </c:pt>
                <c:pt idx="7">
                  <c:v>2.3400000000000007</c:v>
                </c:pt>
                <c:pt idx="8">
                  <c:v>5.71</c:v>
                </c:pt>
                <c:pt idx="9">
                  <c:v>1.9030000000000002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21.082999999999998</c:v>
                </c:pt>
                <c:pt idx="1">
                  <c:v>20.661000000000001</c:v>
                </c:pt>
                <c:pt idx="2">
                  <c:v>118.11</c:v>
                </c:pt>
                <c:pt idx="3">
                  <c:v>47.740000000000009</c:v>
                </c:pt>
                <c:pt idx="4">
                  <c:v>12.540000000000001</c:v>
                </c:pt>
                <c:pt idx="5">
                  <c:v>74.614000000000004</c:v>
                </c:pt>
                <c:pt idx="6">
                  <c:v>8.2679999999999989</c:v>
                </c:pt>
                <c:pt idx="7">
                  <c:v>7.3000000000000007</c:v>
                </c:pt>
                <c:pt idx="8">
                  <c:v>4.0620000000000012</c:v>
                </c:pt>
                <c:pt idx="9">
                  <c:v>12.670000000000002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4.181</c:v>
                </c:pt>
                <c:pt idx="1">
                  <c:v>9.5280000000000005</c:v>
                </c:pt>
                <c:pt idx="2">
                  <c:v>53.908999999999999</c:v>
                </c:pt>
                <c:pt idx="3">
                  <c:v>15.916000000000002</c:v>
                </c:pt>
                <c:pt idx="4">
                  <c:v>8.016</c:v>
                </c:pt>
                <c:pt idx="5">
                  <c:v>33.962999999999994</c:v>
                </c:pt>
                <c:pt idx="6">
                  <c:v>12.603</c:v>
                </c:pt>
                <c:pt idx="7">
                  <c:v>6.6760000000000019</c:v>
                </c:pt>
                <c:pt idx="8">
                  <c:v>2.4510000000000005</c:v>
                </c:pt>
                <c:pt idx="9">
                  <c:v>24.201000000000004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8.891</c:v>
                </c:pt>
                <c:pt idx="1">
                  <c:v>5.944</c:v>
                </c:pt>
                <c:pt idx="2">
                  <c:v>32.283000000000001</c:v>
                </c:pt>
                <c:pt idx="3">
                  <c:v>15.670000000000002</c:v>
                </c:pt>
                <c:pt idx="4">
                  <c:v>6.0219999999999994</c:v>
                </c:pt>
                <c:pt idx="5">
                  <c:v>19.801000000000002</c:v>
                </c:pt>
                <c:pt idx="6">
                  <c:v>9.5170000000000012</c:v>
                </c:pt>
                <c:pt idx="7">
                  <c:v>2.9200000000000004</c:v>
                </c:pt>
                <c:pt idx="8">
                  <c:v>1.4649999999999996</c:v>
                </c:pt>
                <c:pt idx="9">
                  <c:v>35.414000000000001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4.3979999999999997</c:v>
                </c:pt>
                <c:pt idx="1">
                  <c:v>2.1760000000000002</c:v>
                </c:pt>
                <c:pt idx="2">
                  <c:v>25.326000000000001</c:v>
                </c:pt>
                <c:pt idx="3">
                  <c:v>11.062000000000003</c:v>
                </c:pt>
                <c:pt idx="4">
                  <c:v>4.1559999999999988</c:v>
                </c:pt>
                <c:pt idx="5">
                  <c:v>8.1390000000000029</c:v>
                </c:pt>
                <c:pt idx="6">
                  <c:v>4.7410000000000005</c:v>
                </c:pt>
                <c:pt idx="7">
                  <c:v>1.8010000000000004</c:v>
                </c:pt>
                <c:pt idx="8">
                  <c:v>1.0959999999999999</c:v>
                </c:pt>
                <c:pt idx="9">
                  <c:v>23.609000000000002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1.78</c:v>
                </c:pt>
                <c:pt idx="1">
                  <c:v>2.802</c:v>
                </c:pt>
                <c:pt idx="2">
                  <c:v>8.868999999999998</c:v>
                </c:pt>
                <c:pt idx="3">
                  <c:v>7.3170000000000002</c:v>
                </c:pt>
                <c:pt idx="4">
                  <c:v>0.89900000000000024</c:v>
                </c:pt>
                <c:pt idx="5">
                  <c:v>3.4400000000000004</c:v>
                </c:pt>
                <c:pt idx="6">
                  <c:v>2.7279999999999998</c:v>
                </c:pt>
                <c:pt idx="7">
                  <c:v>0.91000000000000036</c:v>
                </c:pt>
                <c:pt idx="8">
                  <c:v>0.71600000000000019</c:v>
                </c:pt>
                <c:pt idx="9">
                  <c:v>13.220999999999998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16/17</c:v>
                </c:pt>
                <c:pt idx="1">
                  <c:v>17/18</c:v>
                </c:pt>
                <c:pt idx="2">
                  <c:v>18/19</c:v>
                </c:pt>
                <c:pt idx="3">
                  <c:v>19/20</c:v>
                </c:pt>
                <c:pt idx="4">
                  <c:v>20/21</c:v>
                </c:pt>
                <c:pt idx="5">
                  <c:v>21/22</c:v>
                </c:pt>
                <c:pt idx="6">
                  <c:v>22/23</c:v>
                </c:pt>
                <c:pt idx="7">
                  <c:v>23/24</c:v>
                </c:pt>
                <c:pt idx="8">
                  <c:v>24/25</c:v>
                </c:pt>
                <c:pt idx="9">
                  <c:v>25/26</c:v>
                </c:pt>
                <c:pt idx="10">
                  <c:v>26/27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0.22800000000000001</c:v>
                </c:pt>
                <c:pt idx="1">
                  <c:v>2.0219999999999998</c:v>
                </c:pt>
                <c:pt idx="2">
                  <c:v>6.1989999999999998</c:v>
                </c:pt>
                <c:pt idx="3">
                  <c:v>2.7469999999999999</c:v>
                </c:pt>
                <c:pt idx="4">
                  <c:v>0.192</c:v>
                </c:pt>
                <c:pt idx="5">
                  <c:v>1.2640000000000002</c:v>
                </c:pt>
                <c:pt idx="6">
                  <c:v>0.89100000000000013</c:v>
                </c:pt>
                <c:pt idx="7">
                  <c:v>0.29700000000000004</c:v>
                </c:pt>
                <c:pt idx="8">
                  <c:v>7.6000000000000012E-2</c:v>
                </c:pt>
                <c:pt idx="9">
                  <c:v>3.0700000000000003</c:v>
                </c:pt>
                <c:pt idx="1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0.247</c:v>
                      </c:pt>
                      <c:pt idx="1">
                        <c:v>0.14199999999999999</c:v>
                      </c:pt>
                      <c:pt idx="2">
                        <c:v>0.85799999999999998</c:v>
                      </c:pt>
                      <c:pt idx="3">
                        <c:v>2.4298378274389072</c:v>
                      </c:pt>
                      <c:pt idx="4">
                        <c:v>0.16500000000000001</c:v>
                      </c:pt>
                      <c:pt idx="5">
                        <c:v>8.4000000000000005E-2</c:v>
                      </c:pt>
                      <c:pt idx="6">
                        <c:v>3.9459999999999997</c:v>
                      </c:pt>
                      <c:pt idx="7">
                        <c:v>0.58300000000000018</c:v>
                      </c:pt>
                      <c:pt idx="8">
                        <c:v>0</c:v>
                      </c:pt>
                      <c:pt idx="9">
                        <c:v>9.5000000000000001E-2</c:v>
                      </c:pt>
                      <c:pt idx="10">
                        <c:v>1.3709999999999996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1.524</c:v>
                      </c:pt>
                      <c:pt idx="3">
                        <c:v>0.86600000000000021</c:v>
                      </c:pt>
                      <c:pt idx="4">
                        <c:v>2.4E-2</c:v>
                      </c:pt>
                      <c:pt idx="5">
                        <c:v>9.2999999999999999E-2</c:v>
                      </c:pt>
                      <c:pt idx="6">
                        <c:v>0</c:v>
                      </c:pt>
                      <c:pt idx="7">
                        <c:v>9.8000000000000004E-2</c:v>
                      </c:pt>
                      <c:pt idx="8">
                        <c:v>0</c:v>
                      </c:pt>
                      <c:pt idx="9">
                        <c:v>1.1120000000000003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16/17</c:v>
                      </c:pt>
                      <c:pt idx="1">
                        <c:v>17/18</c:v>
                      </c:pt>
                      <c:pt idx="2">
                        <c:v>18/19</c:v>
                      </c:pt>
                      <c:pt idx="3">
                        <c:v>19/20</c:v>
                      </c:pt>
                      <c:pt idx="4">
                        <c:v>20/21</c:v>
                      </c:pt>
                      <c:pt idx="5">
                        <c:v>21/22</c:v>
                      </c:pt>
                      <c:pt idx="6">
                        <c:v>22/23</c:v>
                      </c:pt>
                      <c:pt idx="7">
                        <c:v>23/24</c:v>
                      </c:pt>
                      <c:pt idx="8">
                        <c:v>24/25</c:v>
                      </c:pt>
                      <c:pt idx="9">
                        <c:v>25/26</c:v>
                      </c:pt>
                      <c:pt idx="10">
                        <c:v>26/27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7.6999999999999999E-2</c:v>
                      </c:pt>
                      <c:pt idx="2">
                        <c:v>0.54209980586723205</c:v>
                      </c:pt>
                      <c:pt idx="3">
                        <c:v>0.161</c:v>
                      </c:pt>
                      <c:pt idx="4">
                        <c:v>3.5000000000000003E-2</c:v>
                      </c:pt>
                      <c:pt idx="5">
                        <c:v>3.4999999999999996E-2</c:v>
                      </c:pt>
                      <c:pt idx="6">
                        <c:v>0.186</c:v>
                      </c:pt>
                      <c:pt idx="7">
                        <c:v>0.20799999999999999</c:v>
                      </c:pt>
                      <c:pt idx="8">
                        <c:v>4.0000000000000001E-3</c:v>
                      </c:pt>
                      <c:pt idx="9">
                        <c:v>1.5960000000000003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8" sqref="B18:D18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42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4">
        <v>46315</v>
      </c>
      <c r="M10" s="205"/>
      <c r="S10" s="49"/>
    </row>
    <row r="11" spans="2:19" ht="19.5" thickTop="1" x14ac:dyDescent="0.3">
      <c r="B11" s="93"/>
      <c r="C11" s="94"/>
      <c r="D11" s="94"/>
      <c r="E11" s="95"/>
      <c r="F11" s="206" t="s">
        <v>43</v>
      </c>
      <c r="G11" s="207"/>
      <c r="H11" s="208" t="s">
        <v>44</v>
      </c>
      <c r="I11" s="208"/>
      <c r="J11" s="208"/>
      <c r="K11" s="209"/>
      <c r="L11" s="96" t="s">
        <v>45</v>
      </c>
      <c r="M11" s="97"/>
    </row>
    <row r="12" spans="2:19" ht="18.75" x14ac:dyDescent="0.3">
      <c r="B12" s="98"/>
      <c r="C12" s="99"/>
      <c r="D12" s="99"/>
      <c r="E12" s="100" t="s">
        <v>46</v>
      </c>
      <c r="F12" s="210" t="s">
        <v>47</v>
      </c>
      <c r="G12" s="211"/>
      <c r="H12" s="212" t="s">
        <v>48</v>
      </c>
      <c r="I12" s="213"/>
      <c r="J12" s="212" t="s">
        <v>49</v>
      </c>
      <c r="K12" s="213"/>
      <c r="L12" s="101" t="s">
        <v>50</v>
      </c>
      <c r="M12" s="102"/>
    </row>
    <row r="13" spans="2:19" ht="20.25" x14ac:dyDescent="0.3">
      <c r="B13" s="186" t="s">
        <v>0</v>
      </c>
      <c r="C13" s="187"/>
      <c r="D13" s="188"/>
      <c r="E13" s="100" t="s">
        <v>51</v>
      </c>
      <c r="F13" s="103" t="s">
        <v>52</v>
      </c>
      <c r="G13" s="104" t="s">
        <v>53</v>
      </c>
      <c r="H13" s="105"/>
      <c r="I13" s="104" t="s">
        <v>54</v>
      </c>
      <c r="J13" s="106"/>
      <c r="K13" s="104" t="s">
        <v>54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107</v>
      </c>
      <c r="G14" s="104" t="s">
        <v>55</v>
      </c>
      <c r="H14" s="106" t="s">
        <v>56</v>
      </c>
      <c r="I14" s="104" t="s">
        <v>57</v>
      </c>
      <c r="J14" s="106" t="s">
        <v>1</v>
      </c>
      <c r="K14" s="104" t="s">
        <v>57</v>
      </c>
      <c r="L14" s="110">
        <v>2026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2026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58</v>
      </c>
      <c r="O15" s="2"/>
    </row>
    <row r="16" spans="2:19" ht="24" customHeight="1" thickTop="1" x14ac:dyDescent="0.3">
      <c r="B16" s="189" t="s">
        <v>59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60</v>
      </c>
      <c r="C17" s="193"/>
      <c r="D17" s="194"/>
      <c r="E17" s="3">
        <v>115</v>
      </c>
      <c r="F17" s="127">
        <v>4.2000000000000003E-2</v>
      </c>
      <c r="G17" s="128">
        <v>0.56600000000000006</v>
      </c>
      <c r="H17" s="129">
        <v>42.225999999999999</v>
      </c>
      <c r="I17" s="130">
        <v>36.718260869565214</v>
      </c>
      <c r="J17" s="131">
        <v>11.88</v>
      </c>
      <c r="K17" s="4">
        <v>10.330434782608696</v>
      </c>
      <c r="L17" s="5">
        <v>48.267000000000003</v>
      </c>
      <c r="M17" s="132" t="s">
        <v>85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2.6000000000000002E-2</v>
      </c>
      <c r="H18" s="134">
        <v>3.69</v>
      </c>
      <c r="I18" s="135">
        <v>21.578947368421051</v>
      </c>
      <c r="J18" s="7">
        <v>1.9690000000000001</v>
      </c>
      <c r="K18" s="8">
        <v>11.514619883040936</v>
      </c>
      <c r="L18" s="5">
        <v>4.2469999999999999</v>
      </c>
      <c r="M18" s="132" t="s">
        <v>86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1.3000000000000001E-2</v>
      </c>
      <c r="H19" s="134">
        <v>2.3969999999999998</v>
      </c>
      <c r="I19" s="135">
        <v>17.306859205776174</v>
      </c>
      <c r="J19" s="7">
        <v>2.0099999999999998</v>
      </c>
      <c r="K19" s="8">
        <v>14.51263537906137</v>
      </c>
      <c r="L19" s="5">
        <v>2.569</v>
      </c>
      <c r="M19" s="132" t="s">
        <v>86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0</v>
      </c>
      <c r="G20" s="53">
        <v>4.2000000000000003E-2</v>
      </c>
      <c r="H20" s="134">
        <v>3.7649999999999997</v>
      </c>
      <c r="I20" s="135">
        <v>24.29032258064516</v>
      </c>
      <c r="J20" s="7">
        <v>3.258</v>
      </c>
      <c r="K20" s="8">
        <v>21.019354838709678</v>
      </c>
      <c r="L20" s="5">
        <v>5.9409999999999998</v>
      </c>
      <c r="M20" s="132" t="s">
        <v>87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0</v>
      </c>
      <c r="G21" s="53">
        <v>0.03</v>
      </c>
      <c r="H21" s="134">
        <v>6.4169999999999998</v>
      </c>
      <c r="I21" s="135">
        <v>47.533333333333331</v>
      </c>
      <c r="J21" s="7">
        <v>0.85</v>
      </c>
      <c r="K21" s="8">
        <v>6.2962962962962958</v>
      </c>
      <c r="L21" s="5">
        <v>8.14</v>
      </c>
      <c r="M21" s="132" t="s">
        <v>88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1.7000000000000001E-2</v>
      </c>
      <c r="G22" s="53">
        <v>0.36599999999999999</v>
      </c>
      <c r="H22" s="134">
        <v>2.855</v>
      </c>
      <c r="I22" s="135">
        <v>66.395348837209298</v>
      </c>
      <c r="J22" s="136">
        <v>1.7669999999999999</v>
      </c>
      <c r="K22" s="8">
        <v>41.093023255813954</v>
      </c>
      <c r="L22" s="5">
        <v>3.117</v>
      </c>
      <c r="M22" s="132" t="s">
        <v>89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0</v>
      </c>
      <c r="G23" s="53">
        <v>1.0999999999999999E-2</v>
      </c>
      <c r="H23" s="134">
        <v>1.4620000000000002</v>
      </c>
      <c r="I23" s="135">
        <v>43.000000000000007</v>
      </c>
      <c r="J23" s="7">
        <v>0.84299999999999997</v>
      </c>
      <c r="K23" s="8">
        <v>24.794117647058822</v>
      </c>
      <c r="L23" s="5">
        <v>2.198</v>
      </c>
      <c r="M23" s="132" t="s">
        <v>90</v>
      </c>
      <c r="O23" s="2"/>
    </row>
    <row r="24" spans="2:48" ht="33.950000000000003" customHeight="1" thickBot="1" x14ac:dyDescent="0.4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0.54200000000000004</v>
      </c>
      <c r="I24" s="141">
        <v>7.9705882352941178</v>
      </c>
      <c r="J24" s="142">
        <v>9.8000000000000004E-2</v>
      </c>
      <c r="K24" s="54">
        <v>1.4411764705882353</v>
      </c>
      <c r="L24" s="5">
        <v>0.38</v>
      </c>
      <c r="M24" s="143" t="s">
        <v>91</v>
      </c>
      <c r="N24" s="9"/>
    </row>
    <row r="25" spans="2:48" ht="23.25" customHeight="1" thickBot="1" x14ac:dyDescent="0.35">
      <c r="B25" s="201" t="s">
        <v>61</v>
      </c>
      <c r="C25" s="202"/>
      <c r="D25" s="203"/>
      <c r="E25" s="55">
        <v>189.45000000000002</v>
      </c>
      <c r="F25" s="144">
        <v>5.9000000000000004E-2</v>
      </c>
      <c r="G25" s="145">
        <v>1.054</v>
      </c>
      <c r="H25" s="146">
        <v>63.353999999999999</v>
      </c>
      <c r="I25" s="56">
        <v>33.441013460015832</v>
      </c>
      <c r="J25" s="147">
        <v>22.675000000000001</v>
      </c>
      <c r="K25" s="56">
        <v>11.968857218263393</v>
      </c>
      <c r="L25" s="57">
        <v>73.126999999999995</v>
      </c>
      <c r="M25" s="148" t="s">
        <v>85</v>
      </c>
      <c r="O25" s="2"/>
    </row>
    <row r="26" spans="2:48" ht="19.5" customHeight="1" x14ac:dyDescent="0.3">
      <c r="B26" s="183" t="s">
        <v>62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1.7999999999999999E-2</v>
      </c>
      <c r="G27" s="53">
        <v>9.6000000000000002E-2</v>
      </c>
      <c r="H27" s="134">
        <v>18.524000000000001</v>
      </c>
      <c r="I27" s="135">
        <v>35.368019093078765</v>
      </c>
      <c r="J27" s="7">
        <v>5.0389999999999997</v>
      </c>
      <c r="K27" s="8">
        <v>9.621002386634844</v>
      </c>
      <c r="L27" s="10">
        <v>22.010999999999999</v>
      </c>
      <c r="M27" s="132" t="s">
        <v>92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2E-3</v>
      </c>
      <c r="G28" s="53">
        <v>0.112</v>
      </c>
      <c r="H28" s="134">
        <v>7.1639999999999997</v>
      </c>
      <c r="I28" s="135">
        <v>41.728797763280525</v>
      </c>
      <c r="J28" s="7">
        <v>2.085</v>
      </c>
      <c r="K28" s="8">
        <v>12.144687791239516</v>
      </c>
      <c r="L28" s="10">
        <v>8.99</v>
      </c>
      <c r="M28" s="132" t="s">
        <v>93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1E-3</v>
      </c>
      <c r="G29" s="53">
        <v>1.9000000000000003E-2</v>
      </c>
      <c r="H29" s="134">
        <v>0.65300000000000002</v>
      </c>
      <c r="I29" s="135">
        <v>29.954128440366972</v>
      </c>
      <c r="J29" s="7">
        <v>0</v>
      </c>
      <c r="K29" s="8">
        <v>0</v>
      </c>
      <c r="L29" s="10">
        <v>1.974</v>
      </c>
      <c r="M29" s="143" t="s">
        <v>94</v>
      </c>
      <c r="O29" s="2"/>
    </row>
    <row r="30" spans="2:48" ht="23.25" customHeight="1" thickBot="1" x14ac:dyDescent="0.35">
      <c r="B30" s="201" t="s">
        <v>61</v>
      </c>
      <c r="C30" s="202"/>
      <c r="D30" s="203"/>
      <c r="E30" s="55">
        <v>71.723000000000013</v>
      </c>
      <c r="F30" s="144">
        <v>2.0999999999999998E-2</v>
      </c>
      <c r="G30" s="149">
        <v>0.22700000000000004</v>
      </c>
      <c r="H30" s="146">
        <v>26.341000000000001</v>
      </c>
      <c r="I30" s="56">
        <v>36.726015364666836</v>
      </c>
      <c r="J30" s="147">
        <v>7.1239999999999997</v>
      </c>
      <c r="K30" s="56">
        <v>9.9326575854328443</v>
      </c>
      <c r="L30" s="57">
        <v>32.914000000000001</v>
      </c>
      <c r="M30" s="148" t="s">
        <v>88</v>
      </c>
      <c r="O30" s="2"/>
    </row>
    <row r="31" spans="2:48" ht="25.5" customHeight="1" x14ac:dyDescent="0.3">
      <c r="B31" s="183" t="s">
        <v>63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2E-3</v>
      </c>
      <c r="G32" s="53">
        <v>4.7E-2</v>
      </c>
      <c r="H32" s="134">
        <v>9.2720000000000002</v>
      </c>
      <c r="I32" s="135">
        <v>38.633333333333333</v>
      </c>
      <c r="J32" s="7">
        <v>2.855</v>
      </c>
      <c r="K32" s="8">
        <v>11.895833333333334</v>
      </c>
      <c r="L32" s="10">
        <v>12.036</v>
      </c>
      <c r="M32" s="132" t="s">
        <v>95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0</v>
      </c>
      <c r="G33" s="53">
        <v>1.1000000000000001E-2</v>
      </c>
      <c r="H33" s="134">
        <v>0.441</v>
      </c>
      <c r="I33" s="135">
        <v>44.545454545454547</v>
      </c>
      <c r="J33" s="7">
        <v>3.0000000000000001E-3</v>
      </c>
      <c r="K33" s="8">
        <v>0.30303030303030304</v>
      </c>
      <c r="L33" s="10">
        <v>0.99</v>
      </c>
      <c r="M33" s="132" t="s">
        <v>96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0</v>
      </c>
      <c r="G34" s="53">
        <v>6.0000000000000001E-3</v>
      </c>
      <c r="H34" s="134">
        <v>0.50600000000000001</v>
      </c>
      <c r="I34" s="135">
        <v>58.83720930232559</v>
      </c>
      <c r="J34" s="7">
        <v>0.115</v>
      </c>
      <c r="K34" s="8">
        <v>13.372093023255815</v>
      </c>
      <c r="L34" s="10">
        <v>0.86</v>
      </c>
      <c r="M34" s="132" t="s">
        <v>97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0</v>
      </c>
      <c r="G35" s="53">
        <v>1.4E-2</v>
      </c>
      <c r="H35" s="134">
        <v>0.14699999999999999</v>
      </c>
      <c r="I35" s="135">
        <v>49.328859060402685</v>
      </c>
      <c r="J35" s="7">
        <v>5.5E-2</v>
      </c>
      <c r="K35" s="8">
        <v>18.456375838926174</v>
      </c>
      <c r="L35" s="10">
        <v>0.29799999999999999</v>
      </c>
      <c r="M35" s="143" t="s">
        <v>98</v>
      </c>
      <c r="O35" s="2"/>
      <c r="Q35" s="12"/>
    </row>
    <row r="36" spans="2:38" ht="23.25" customHeight="1" thickBot="1" x14ac:dyDescent="0.35">
      <c r="B36" s="201" t="s">
        <v>61</v>
      </c>
      <c r="C36" s="202"/>
      <c r="D36" s="203"/>
      <c r="E36" s="55">
        <v>26.147999999999996</v>
      </c>
      <c r="F36" s="144">
        <v>2E-3</v>
      </c>
      <c r="G36" s="149">
        <v>7.8E-2</v>
      </c>
      <c r="H36" s="146">
        <v>10.366000000000001</v>
      </c>
      <c r="I36" s="56">
        <v>39.643567385650925</v>
      </c>
      <c r="J36" s="147">
        <v>3.0280000000000005</v>
      </c>
      <c r="K36" s="56">
        <v>11.580235582071289</v>
      </c>
      <c r="L36" s="57">
        <v>14.183999999999999</v>
      </c>
      <c r="M36" s="148" t="s">
        <v>95</v>
      </c>
      <c r="O36" s="2"/>
    </row>
    <row r="37" spans="2:38" ht="23.25" customHeight="1" x14ac:dyDescent="0.3">
      <c r="B37" s="183" t="s">
        <v>64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1E-3</v>
      </c>
      <c r="H38" s="129">
        <v>1.198</v>
      </c>
      <c r="I38" s="130">
        <v>70.887573964497037</v>
      </c>
      <c r="J38" s="131">
        <v>5.0000000000000001E-3</v>
      </c>
      <c r="K38" s="4">
        <v>0.29585798816568049</v>
      </c>
      <c r="L38" s="10">
        <v>1.69</v>
      </c>
      <c r="M38" s="132" t="s">
        <v>99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0</v>
      </c>
      <c r="G39" s="53">
        <v>1.1000000000000001E-2</v>
      </c>
      <c r="H39" s="134">
        <v>1.0669999999999999</v>
      </c>
      <c r="I39" s="135">
        <v>74.615384615384613</v>
      </c>
      <c r="J39" s="7">
        <v>0.03</v>
      </c>
      <c r="K39" s="8">
        <v>2.0979020979020979</v>
      </c>
      <c r="L39" s="10">
        <v>1.43</v>
      </c>
      <c r="M39" s="132" t="s">
        <v>100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</v>
      </c>
      <c r="H40" s="134">
        <v>0.36299999999999999</v>
      </c>
      <c r="I40" s="135">
        <v>100</v>
      </c>
      <c r="J40" s="7">
        <v>0.04</v>
      </c>
      <c r="K40" s="8">
        <v>11.019283746556475</v>
      </c>
      <c r="L40" s="62">
        <v>0.36299999999999999</v>
      </c>
      <c r="M40" s="143" t="s">
        <v>101</v>
      </c>
    </row>
    <row r="41" spans="2:38" ht="30" customHeight="1" thickBot="1" x14ac:dyDescent="0.35">
      <c r="B41" s="201" t="s">
        <v>61</v>
      </c>
      <c r="C41" s="202"/>
      <c r="D41" s="203"/>
      <c r="E41" s="55">
        <v>3.4830000000000001</v>
      </c>
      <c r="F41" s="144">
        <v>0</v>
      </c>
      <c r="G41" s="149">
        <v>1.2E-2</v>
      </c>
      <c r="H41" s="146">
        <v>2.6279999999999997</v>
      </c>
      <c r="I41" s="56">
        <v>75.452196382428923</v>
      </c>
      <c r="J41" s="147">
        <v>7.4999999999999997E-2</v>
      </c>
      <c r="K41" s="56">
        <v>2.1533161068044788</v>
      </c>
      <c r="L41" s="63">
        <v>3.4830000000000001</v>
      </c>
      <c r="M41" s="148" t="s">
        <v>99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8.2000000000000003E-2</v>
      </c>
      <c r="G43" s="64">
        <v>1.3710000000000002</v>
      </c>
      <c r="H43" s="164">
        <v>102.68899999999999</v>
      </c>
      <c r="I43" s="165">
        <v>0.3531210024621394</v>
      </c>
      <c r="J43" s="14">
        <v>32.902000000000001</v>
      </c>
      <c r="K43" s="165">
        <v>0.11314149736592344</v>
      </c>
      <c r="L43" s="65">
        <v>123.443</v>
      </c>
      <c r="M43" s="66" t="s">
        <v>87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65</v>
      </c>
      <c r="O44" s="2"/>
    </row>
    <row r="45" spans="2:38" ht="26.25" customHeight="1" x14ac:dyDescent="0.35">
      <c r="B45" s="90" t="s">
        <v>102</v>
      </c>
      <c r="J45" s="91">
        <v>0</v>
      </c>
      <c r="K45" s="15" t="s">
        <v>66</v>
      </c>
      <c r="O45" s="2"/>
    </row>
    <row r="46" spans="2:38" ht="26.25" customHeight="1" x14ac:dyDescent="0.3">
      <c r="B46" s="12" t="s">
        <v>67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68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40</v>
      </c>
      <c r="M49" s="69" t="s">
        <v>103</v>
      </c>
    </row>
    <row r="50" spans="2:17" ht="30" customHeight="1" x14ac:dyDescent="0.35">
      <c r="B50" s="168" t="s">
        <v>69</v>
      </c>
      <c r="C50" s="70">
        <v>0.247</v>
      </c>
      <c r="D50" s="70">
        <v>0.14199999999999999</v>
      </c>
      <c r="E50" s="70">
        <v>0.85799999999999998</v>
      </c>
      <c r="F50" s="70">
        <v>2.4298378274389072</v>
      </c>
      <c r="G50" s="70">
        <v>0.16500000000000001</v>
      </c>
      <c r="H50" s="70">
        <v>8.4000000000000005E-2</v>
      </c>
      <c r="I50" s="70">
        <v>3.9459999999999997</v>
      </c>
      <c r="J50" s="70">
        <v>0.58300000000000018</v>
      </c>
      <c r="K50" s="70">
        <v>0</v>
      </c>
      <c r="L50" s="70">
        <v>9.5000000000000001E-2</v>
      </c>
      <c r="M50" s="70">
        <v>1.3709999999999996</v>
      </c>
    </row>
    <row r="51" spans="2:17" ht="30" customHeight="1" x14ac:dyDescent="0.35">
      <c r="B51" s="71" t="s">
        <v>70</v>
      </c>
      <c r="C51" s="70">
        <v>0.65700000000000003</v>
      </c>
      <c r="D51" s="70">
        <v>0.61399999999999999</v>
      </c>
      <c r="E51" s="70">
        <v>0.75700000000000001</v>
      </c>
      <c r="F51" s="70">
        <v>1.5453236734428304</v>
      </c>
      <c r="G51" s="70">
        <v>0.94200000000000017</v>
      </c>
      <c r="H51" s="70">
        <v>0.39700000000000008</v>
      </c>
      <c r="I51" s="70">
        <v>2.9759999999999995</v>
      </c>
      <c r="J51" s="70">
        <v>1.5810000000000002</v>
      </c>
      <c r="K51" s="70">
        <v>3.0839999999999987</v>
      </c>
      <c r="L51" s="70">
        <v>0.20000000000000004</v>
      </c>
      <c r="M51" s="70">
        <v>0</v>
      </c>
    </row>
    <row r="52" spans="2:17" ht="30" customHeight="1" x14ac:dyDescent="0.35">
      <c r="B52" s="71" t="s">
        <v>71</v>
      </c>
      <c r="C52" s="70">
        <v>7.4240000000000004</v>
      </c>
      <c r="D52" s="70">
        <v>0.88100000000000001</v>
      </c>
      <c r="E52" s="70">
        <v>16.664999999999999</v>
      </c>
      <c r="F52" s="70">
        <v>30.495000000000001</v>
      </c>
      <c r="G52" s="70">
        <v>3.1070000000000007</v>
      </c>
      <c r="H52" s="70">
        <v>11.922999999999998</v>
      </c>
      <c r="I52" s="70">
        <v>2.9220000000000006</v>
      </c>
      <c r="J52" s="70">
        <v>2.3400000000000007</v>
      </c>
      <c r="K52" s="70">
        <v>5.71</v>
      </c>
      <c r="L52" s="70">
        <v>1.9030000000000002</v>
      </c>
      <c r="M52" s="70">
        <v>0</v>
      </c>
    </row>
    <row r="53" spans="2:17" ht="30" customHeight="1" x14ac:dyDescent="0.35">
      <c r="B53" s="71" t="s">
        <v>72</v>
      </c>
      <c r="C53" s="70">
        <v>21.082999999999998</v>
      </c>
      <c r="D53" s="70">
        <v>20.661000000000001</v>
      </c>
      <c r="E53" s="70">
        <v>118.11</v>
      </c>
      <c r="F53" s="70">
        <v>47.740000000000009</v>
      </c>
      <c r="G53" s="70">
        <v>12.540000000000001</v>
      </c>
      <c r="H53" s="70">
        <v>74.614000000000004</v>
      </c>
      <c r="I53" s="70">
        <v>8.2679999999999989</v>
      </c>
      <c r="J53" s="70">
        <v>7.3000000000000007</v>
      </c>
      <c r="K53" s="70">
        <v>4.0620000000000012</v>
      </c>
      <c r="L53" s="70">
        <v>12.670000000000002</v>
      </c>
      <c r="M53" s="70">
        <v>0</v>
      </c>
    </row>
    <row r="54" spans="2:17" ht="30" customHeight="1" x14ac:dyDescent="0.35">
      <c r="B54" s="71" t="s">
        <v>73</v>
      </c>
      <c r="C54" s="70">
        <v>4.181</v>
      </c>
      <c r="D54" s="70">
        <v>9.5280000000000005</v>
      </c>
      <c r="E54" s="70">
        <v>53.908999999999999</v>
      </c>
      <c r="F54" s="70">
        <v>15.916000000000002</v>
      </c>
      <c r="G54" s="70">
        <v>8.016</v>
      </c>
      <c r="H54" s="70">
        <v>33.962999999999994</v>
      </c>
      <c r="I54" s="70">
        <v>12.603</v>
      </c>
      <c r="J54" s="70">
        <v>6.6760000000000019</v>
      </c>
      <c r="K54" s="70">
        <v>2.4510000000000005</v>
      </c>
      <c r="L54" s="70">
        <v>24.201000000000004</v>
      </c>
      <c r="M54" s="70">
        <v>0</v>
      </c>
    </row>
    <row r="55" spans="2:17" ht="30" customHeight="1" x14ac:dyDescent="0.35">
      <c r="B55" s="71" t="s">
        <v>74</v>
      </c>
      <c r="C55" s="70">
        <v>8.891</v>
      </c>
      <c r="D55" s="70">
        <v>5.944</v>
      </c>
      <c r="E55" s="70">
        <v>32.283000000000001</v>
      </c>
      <c r="F55" s="70">
        <v>15.670000000000002</v>
      </c>
      <c r="G55" s="70">
        <v>6.0219999999999994</v>
      </c>
      <c r="H55" s="70">
        <v>19.801000000000002</v>
      </c>
      <c r="I55" s="70">
        <v>9.5170000000000012</v>
      </c>
      <c r="J55" s="70">
        <v>2.9200000000000004</v>
      </c>
      <c r="K55" s="70">
        <v>1.4649999999999996</v>
      </c>
      <c r="L55" s="70">
        <v>35.414000000000001</v>
      </c>
      <c r="M55" s="70">
        <v>0</v>
      </c>
    </row>
    <row r="56" spans="2:17" ht="30" customHeight="1" x14ac:dyDescent="0.35">
      <c r="B56" s="71" t="s">
        <v>75</v>
      </c>
      <c r="C56" s="70">
        <v>4.3979999999999997</v>
      </c>
      <c r="D56" s="70">
        <v>2.1760000000000002</v>
      </c>
      <c r="E56" s="70">
        <v>25.326000000000001</v>
      </c>
      <c r="F56" s="70">
        <v>11.062000000000003</v>
      </c>
      <c r="G56" s="70">
        <v>4.1559999999999988</v>
      </c>
      <c r="H56" s="70">
        <v>8.1390000000000029</v>
      </c>
      <c r="I56" s="70">
        <v>4.7410000000000005</v>
      </c>
      <c r="J56" s="70">
        <v>1.8010000000000004</v>
      </c>
      <c r="K56" s="70">
        <v>1.0959999999999999</v>
      </c>
      <c r="L56" s="70">
        <v>23.609000000000002</v>
      </c>
      <c r="M56" s="70">
        <v>0</v>
      </c>
    </row>
    <row r="57" spans="2:17" ht="30" customHeight="1" x14ac:dyDescent="0.35">
      <c r="B57" s="71" t="s">
        <v>76</v>
      </c>
      <c r="C57" s="70">
        <v>1.78</v>
      </c>
      <c r="D57" s="70">
        <v>2.802</v>
      </c>
      <c r="E57" s="70">
        <v>8.868999999999998</v>
      </c>
      <c r="F57" s="70">
        <v>7.3170000000000002</v>
      </c>
      <c r="G57" s="70">
        <v>0.89900000000000024</v>
      </c>
      <c r="H57" s="70">
        <v>3.4400000000000004</v>
      </c>
      <c r="I57" s="70">
        <v>2.7279999999999998</v>
      </c>
      <c r="J57" s="70">
        <v>0.91000000000000036</v>
      </c>
      <c r="K57" s="70">
        <v>0.71600000000000019</v>
      </c>
      <c r="L57" s="70">
        <v>13.220999999999998</v>
      </c>
      <c r="M57" s="70">
        <v>0</v>
      </c>
    </row>
    <row r="58" spans="2:17" ht="30" customHeight="1" x14ac:dyDescent="0.35">
      <c r="B58" s="72" t="s">
        <v>77</v>
      </c>
      <c r="C58" s="70">
        <v>0.22800000000000001</v>
      </c>
      <c r="D58" s="70">
        <v>2.0219999999999998</v>
      </c>
      <c r="E58" s="70">
        <v>6.1989999999999998</v>
      </c>
      <c r="F58" s="70">
        <v>2.7469999999999999</v>
      </c>
      <c r="G58" s="70">
        <v>0.192</v>
      </c>
      <c r="H58" s="70">
        <v>1.2640000000000002</v>
      </c>
      <c r="I58" s="70">
        <v>0.89100000000000013</v>
      </c>
      <c r="J58" s="70">
        <v>0.29700000000000004</v>
      </c>
      <c r="K58" s="70">
        <v>7.6000000000000012E-2</v>
      </c>
      <c r="L58" s="70">
        <v>3.0700000000000003</v>
      </c>
      <c r="M58" s="70">
        <v>0</v>
      </c>
    </row>
    <row r="59" spans="2:17" ht="30" customHeight="1" x14ac:dyDescent="0.35">
      <c r="B59" s="72" t="s">
        <v>78</v>
      </c>
      <c r="C59" s="70">
        <v>0</v>
      </c>
      <c r="D59" s="70">
        <v>0.05</v>
      </c>
      <c r="E59" s="70">
        <v>1.524</v>
      </c>
      <c r="F59" s="70">
        <v>0.86600000000000021</v>
      </c>
      <c r="G59" s="70">
        <v>2.4E-2</v>
      </c>
      <c r="H59" s="70">
        <v>9.2999999999999999E-2</v>
      </c>
      <c r="I59" s="70">
        <v>0</v>
      </c>
      <c r="J59" s="70">
        <v>9.8000000000000004E-2</v>
      </c>
      <c r="K59" s="70">
        <v>0</v>
      </c>
      <c r="L59" s="70">
        <v>1.1120000000000003</v>
      </c>
      <c r="M59" s="70">
        <v>0</v>
      </c>
    </row>
    <row r="60" spans="2:17" ht="30" customHeight="1" thickBot="1" x14ac:dyDescent="0.4">
      <c r="B60" s="169" t="s">
        <v>79</v>
      </c>
      <c r="C60" s="70">
        <v>0</v>
      </c>
      <c r="D60" s="70">
        <v>7.6999999999999999E-2</v>
      </c>
      <c r="E60" s="70">
        <v>0.54209980586723205</v>
      </c>
      <c r="F60" s="70">
        <v>0.161</v>
      </c>
      <c r="G60" s="70">
        <v>3.5000000000000003E-2</v>
      </c>
      <c r="H60" s="70">
        <v>3.4999999999999996E-2</v>
      </c>
      <c r="I60" s="70">
        <v>0.186</v>
      </c>
      <c r="J60" s="70">
        <v>0.20799999999999999</v>
      </c>
      <c r="K60" s="70">
        <v>4.0000000000000001E-3</v>
      </c>
      <c r="L60" s="70">
        <v>1.5960000000000003</v>
      </c>
      <c r="M60" s="70">
        <v>0</v>
      </c>
    </row>
    <row r="61" spans="2:17" ht="30" customHeight="1" thickBot="1" x14ac:dyDescent="0.4">
      <c r="B61" s="170" t="s">
        <v>21</v>
      </c>
      <c r="C61" s="171">
        <v>48.889000000000003</v>
      </c>
      <c r="D61" s="171">
        <v>44.896999999999998</v>
      </c>
      <c r="E61" s="171">
        <v>265.04209980586722</v>
      </c>
      <c r="F61" s="171">
        <v>135.94916150088179</v>
      </c>
      <c r="G61" s="171">
        <v>36.097999999999999</v>
      </c>
      <c r="H61" s="171">
        <v>153.75299999999999</v>
      </c>
      <c r="I61" s="171">
        <v>48.777999999999999</v>
      </c>
      <c r="J61" s="172">
        <v>24.714000000000006</v>
      </c>
      <c r="K61" s="173">
        <v>18.664000000000001</v>
      </c>
      <c r="L61" s="73">
        <v>117.09100000000001</v>
      </c>
      <c r="M61" s="73">
        <v>1.3709999999999996</v>
      </c>
      <c r="Q61" s="13"/>
    </row>
    <row r="62" spans="2:17" ht="30" customHeight="1" thickBot="1" x14ac:dyDescent="0.35">
      <c r="B62" s="227" t="s">
        <v>80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81</v>
      </c>
      <c r="C63" s="215"/>
      <c r="D63" s="216"/>
      <c r="E63" s="74">
        <v>2.8</v>
      </c>
      <c r="F63" s="60">
        <v>0</v>
      </c>
      <c r="G63" s="151">
        <v>1.9E-2</v>
      </c>
      <c r="H63" s="152">
        <v>2.2000000000000002</v>
      </c>
      <c r="I63" s="153">
        <v>78.571428571428584</v>
      </c>
      <c r="J63" s="61">
        <v>0.51500000000000001</v>
      </c>
      <c r="K63" s="154">
        <v>18.392857142857146</v>
      </c>
      <c r="L63" s="175">
        <v>2.8</v>
      </c>
      <c r="M63" s="75" t="s">
        <v>104</v>
      </c>
      <c r="O63" s="12"/>
    </row>
    <row r="64" spans="2:17" ht="30" customHeight="1" x14ac:dyDescent="0.35">
      <c r="B64" s="217" t="s">
        <v>82</v>
      </c>
      <c r="C64" s="196"/>
      <c r="D64" s="197"/>
      <c r="E64" s="58">
        <v>2</v>
      </c>
      <c r="F64" s="133">
        <v>1E-3</v>
      </c>
      <c r="G64" s="53">
        <v>4.2000000000000003E-2</v>
      </c>
      <c r="H64" s="134">
        <v>1.7889999999999999</v>
      </c>
      <c r="I64" s="135">
        <v>89.45</v>
      </c>
      <c r="J64" s="7">
        <v>1.117</v>
      </c>
      <c r="K64" s="8">
        <v>55.85</v>
      </c>
      <c r="L64" s="176">
        <v>2</v>
      </c>
      <c r="M64" s="76" t="s">
        <v>105</v>
      </c>
      <c r="O64" s="12"/>
    </row>
    <row r="65" spans="2:15" ht="30" customHeight="1" thickBot="1" x14ac:dyDescent="0.4">
      <c r="B65" s="218" t="s">
        <v>83</v>
      </c>
      <c r="C65" s="219"/>
      <c r="D65" s="220"/>
      <c r="E65" s="77">
        <v>4.4539999999999997</v>
      </c>
      <c r="F65" s="177">
        <v>0</v>
      </c>
      <c r="G65" s="78">
        <v>0</v>
      </c>
      <c r="H65" s="178">
        <v>3.7379188649880288</v>
      </c>
      <c r="I65" s="179">
        <v>83.922740570005132</v>
      </c>
      <c r="J65" s="79">
        <v>1.9410000000000001</v>
      </c>
      <c r="K65" s="180">
        <v>43.578805568028741</v>
      </c>
      <c r="L65" s="181">
        <v>4.4539999999999997</v>
      </c>
      <c r="M65" s="80" t="s">
        <v>106</v>
      </c>
      <c r="O65" s="12"/>
    </row>
    <row r="66" spans="2:15" ht="19.5" customHeight="1" x14ac:dyDescent="0.3">
      <c r="B66" s="182" t="s">
        <v>84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41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4.2000000000000003E-2</v>
      </c>
      <c r="G3" s="34">
        <f>'ΙΣΤΟΣΕΛΙΔΑ-GR(4)'!G17</f>
        <v>0.56600000000000006</v>
      </c>
      <c r="H3" s="35">
        <f>'ΙΣΤΟΣΕΛΙΔΑ-GR(4)'!H17</f>
        <v>42.225999999999999</v>
      </c>
      <c r="I3" s="35">
        <f>'ΙΣΤΟΣΕΛΙΔΑ-GR(4)'!I17</f>
        <v>36.718260869565214</v>
      </c>
      <c r="J3" s="42">
        <f>'ΙΣΤΟΣΕΛΙΔΑ-GR(4)'!J17</f>
        <v>11.88</v>
      </c>
      <c r="K3" s="42">
        <f>'ΙΣΤΟΣΕΛΙΔΑ-GR(4)'!K17</f>
        <v>10.330434782608696</v>
      </c>
      <c r="L3" s="39">
        <f>'ΙΣΤΟΣΕΛΙΔΑ-GR(4)'!L17</f>
        <v>48.267000000000003</v>
      </c>
      <c r="M3" s="34">
        <f>E$21</f>
        <v>290.80400000000003</v>
      </c>
      <c r="N3" s="34">
        <f>H$21</f>
        <v>102.68900000000002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1.7999999999999999E-2</v>
      </c>
      <c r="G4" s="34">
        <f>'ΙΣΤΟΣΕΛΙΔΑ-GR(4)'!G27</f>
        <v>9.6000000000000002E-2</v>
      </c>
      <c r="H4" s="35">
        <f>'ΙΣΤΟΣΕΛΙΔΑ-GR(4)'!H27</f>
        <v>18.524000000000001</v>
      </c>
      <c r="I4" s="35">
        <f>'ΙΣΤΟΣΕΛΙΔΑ-GR(4)'!I27</f>
        <v>35.368019093078765</v>
      </c>
      <c r="J4" s="42">
        <f>'ΙΣΤΟΣΕΛΙΔΑ-GR(4)'!J27</f>
        <v>5.0389999999999997</v>
      </c>
      <c r="K4" s="42">
        <f>'ΙΣΤΟΣΕΛΙΔΑ-GR(4)'!K27</f>
        <v>9.621002386634844</v>
      </c>
      <c r="L4" s="39">
        <f>'ΙΣΤΟΣΕΛΙΔΑ-GR(4)'!L27</f>
        <v>22.010999999999999</v>
      </c>
      <c r="M4" s="34">
        <f>E$21</f>
        <v>290.80400000000003</v>
      </c>
      <c r="N4" s="34">
        <f t="shared" ref="N4:N21" si="0">H$21</f>
        <v>102.68900000000002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2E-3</v>
      </c>
      <c r="G5" s="34">
        <f>'ΙΣΤΟΣΕΛΙΔΑ-GR(4)'!G32</f>
        <v>4.7E-2</v>
      </c>
      <c r="H5" s="35">
        <f>'ΙΣΤΟΣΕΛΙΔΑ-GR(4)'!H32</f>
        <v>9.2720000000000002</v>
      </c>
      <c r="I5" s="35">
        <f>'ΙΣΤΟΣΕΛΙΔΑ-GR(4)'!I32</f>
        <v>38.633333333333333</v>
      </c>
      <c r="J5" s="42">
        <f>'ΙΣΤΟΣΕΛΙΔΑ-GR(4)'!J32</f>
        <v>2.855</v>
      </c>
      <c r="K5" s="42">
        <f>'ΙΣΤΟΣΕΛΙΔΑ-GR(4)'!K32</f>
        <v>11.895833333333334</v>
      </c>
      <c r="L5" s="39">
        <f>'ΙΣΤΟΣΕΛΙΔΑ-GR(4)'!L32</f>
        <v>12.036</v>
      </c>
      <c r="M5" s="34">
        <f t="shared" ref="M5:M21" si="1">E$21</f>
        <v>290.80400000000003</v>
      </c>
      <c r="N5" s="34">
        <f t="shared" si="0"/>
        <v>102.68900000000002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2E-3</v>
      </c>
      <c r="G6" s="34">
        <f>'ΙΣΤΟΣΕΛΙΔΑ-GR(4)'!G28</f>
        <v>0.112</v>
      </c>
      <c r="H6" s="35">
        <f>'ΙΣΤΟΣΕΛΙΔΑ-GR(4)'!H28</f>
        <v>7.1639999999999997</v>
      </c>
      <c r="I6" s="35">
        <f>'ΙΣΤΟΣΕΛΙΔΑ-GR(4)'!I28</f>
        <v>41.728797763280525</v>
      </c>
      <c r="J6" s="42">
        <f>'ΙΣΤΟΣΕΛΙΔΑ-GR(4)'!J28</f>
        <v>2.085</v>
      </c>
      <c r="K6" s="42">
        <f>'ΙΣΤΟΣΕΛΙΔΑ-GR(4)'!K28</f>
        <v>12.144687791239516</v>
      </c>
      <c r="L6" s="39">
        <f>'ΙΣΤΟΣΕΛΙΔΑ-GR(4)'!L28</f>
        <v>8.99</v>
      </c>
      <c r="M6" s="34">
        <f t="shared" si="1"/>
        <v>290.80400000000003</v>
      </c>
      <c r="N6" s="34">
        <f t="shared" si="0"/>
        <v>102.68900000000002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2.6000000000000002E-2</v>
      </c>
      <c r="H7" s="35">
        <f>'ΙΣΤΟΣΕΛΙΔΑ-GR(4)'!H18</f>
        <v>3.69</v>
      </c>
      <c r="I7" s="35">
        <f>'ΙΣΤΟΣΕΛΙΔΑ-GR(4)'!I18</f>
        <v>21.578947368421051</v>
      </c>
      <c r="J7" s="42">
        <f>'ΙΣΤΟΣΕΛΙΔΑ-GR(4)'!J18</f>
        <v>1.9690000000000001</v>
      </c>
      <c r="K7" s="42">
        <f>'ΙΣΤΟΣΕΛΙΔΑ-GR(4)'!K18</f>
        <v>11.514619883040936</v>
      </c>
      <c r="L7" s="39">
        <f>'ΙΣΤΟΣΕΛΙΔΑ-GR(4)'!L18</f>
        <v>4.2469999999999999</v>
      </c>
      <c r="M7" s="34">
        <f t="shared" si="1"/>
        <v>290.80400000000003</v>
      </c>
      <c r="N7" s="34">
        <f t="shared" si="0"/>
        <v>102.68900000000002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4.2000000000000003E-2</v>
      </c>
      <c r="H8" s="35">
        <f>'ΙΣΤΟΣΕΛΙΔΑ-GR(4)'!H20</f>
        <v>3.7649999999999997</v>
      </c>
      <c r="I8" s="35">
        <f>'ΙΣΤΟΣΕΛΙΔΑ-GR(4)'!I20</f>
        <v>24.29032258064516</v>
      </c>
      <c r="J8" s="42">
        <f>'ΙΣΤΟΣΕΛΙΔΑ-GR(4)'!J20</f>
        <v>3.258</v>
      </c>
      <c r="K8" s="42">
        <f>'ΙΣΤΟΣΕΛΙΔΑ-GR(4)'!K20</f>
        <v>21.019354838709678</v>
      </c>
      <c r="L8" s="39">
        <f>'ΙΣΤΟΣΕΛΙΔΑ-GR(4)'!L20</f>
        <v>5.9409999999999998</v>
      </c>
      <c r="M8" s="34">
        <f t="shared" si="1"/>
        <v>290.80400000000003</v>
      </c>
      <c r="N8" s="34">
        <f t="shared" si="0"/>
        <v>102.68900000000002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1.3000000000000001E-2</v>
      </c>
      <c r="H9" s="35">
        <f>'ΙΣΤΟΣΕΛΙΔΑ-GR(4)'!H19</f>
        <v>2.3969999999999998</v>
      </c>
      <c r="I9" s="35">
        <f>'ΙΣΤΟΣΕΛΙΔΑ-GR(4)'!I19</f>
        <v>17.306859205776174</v>
      </c>
      <c r="J9" s="42">
        <f>'ΙΣΤΟΣΕΛΙΔΑ-GR(4)'!J19</f>
        <v>2.0099999999999998</v>
      </c>
      <c r="K9" s="42">
        <f>'ΙΣΤΟΣΕΛΙΔΑ-GR(4)'!K19</f>
        <v>14.51263537906137</v>
      </c>
      <c r="L9" s="39">
        <f>'ΙΣΤΟΣΕΛΙΔΑ-GR(4)'!L19</f>
        <v>2.569</v>
      </c>
      <c r="M9" s="34">
        <f t="shared" si="1"/>
        <v>290.80400000000003</v>
      </c>
      <c r="N9" s="34">
        <f t="shared" si="0"/>
        <v>102.68900000000002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0.03</v>
      </c>
      <c r="H10" s="35">
        <f>'ΙΣΤΟΣΕΛΙΔΑ-GR(4)'!H21</f>
        <v>6.4169999999999998</v>
      </c>
      <c r="I10" s="35">
        <f>'ΙΣΤΟΣΕΛΙΔΑ-GR(4)'!I21</f>
        <v>47.533333333333331</v>
      </c>
      <c r="J10" s="42">
        <f>'ΙΣΤΟΣΕΛΙΔΑ-GR(4)'!J21</f>
        <v>0.85</v>
      </c>
      <c r="K10" s="42">
        <f>'ΙΣΤΟΣΕΛΙΔΑ-GR(4)'!K21</f>
        <v>6.2962962962962958</v>
      </c>
      <c r="L10" s="39">
        <f>'ΙΣΤΟΣΕΛΙΔΑ-GR(4)'!L21</f>
        <v>8.14</v>
      </c>
      <c r="M10" s="34">
        <f t="shared" si="1"/>
        <v>290.80400000000003</v>
      </c>
      <c r="N10" s="34">
        <f t="shared" si="0"/>
        <v>102.68900000000002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0.54200000000000004</v>
      </c>
      <c r="I11" s="35">
        <f>'ΙΣΤΟΣΕΛΙΔΑ-GR(4)'!I24</f>
        <v>7.9705882352941178</v>
      </c>
      <c r="J11" s="42">
        <f>'ΙΣΤΟΣΕΛΙΔΑ-GR(4)'!J24</f>
        <v>9.8000000000000004E-2</v>
      </c>
      <c r="K11" s="42">
        <f>'ΙΣΤΟΣΕΛΙΔΑ-GR(4)'!K24</f>
        <v>1.4411764705882353</v>
      </c>
      <c r="L11" s="39">
        <f>'ΙΣΤΟΣΕΛΙΔΑ-GR(4)'!L24</f>
        <v>0.38</v>
      </c>
      <c r="M11" s="34">
        <f t="shared" si="1"/>
        <v>290.80400000000003</v>
      </c>
      <c r="N11" s="34">
        <f t="shared" si="0"/>
        <v>102.68900000000002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1.7000000000000001E-2</v>
      </c>
      <c r="G12" s="34">
        <f>'ΙΣΤΟΣΕΛΙΔΑ-GR(4)'!G22</f>
        <v>0.36599999999999999</v>
      </c>
      <c r="H12" s="35">
        <f>'ΙΣΤΟΣΕΛΙΔΑ-GR(4)'!H22</f>
        <v>2.855</v>
      </c>
      <c r="I12" s="35">
        <f>'ΙΣΤΟΣΕΛΙΔΑ-GR(4)'!I22</f>
        <v>66.395348837209298</v>
      </c>
      <c r="J12" s="42">
        <f>'ΙΣΤΟΣΕΛΙΔΑ-GR(4)'!J22</f>
        <v>1.7669999999999999</v>
      </c>
      <c r="K12" s="42">
        <f>'ΙΣΤΟΣΕΛΙΔΑ-GR(4)'!K22</f>
        <v>41.093023255813954</v>
      </c>
      <c r="L12" s="39">
        <f>'ΙΣΤΟΣΕΛΙΔΑ-GR(4)'!L22</f>
        <v>3.117</v>
      </c>
      <c r="M12" s="34">
        <f t="shared" si="1"/>
        <v>290.80400000000003</v>
      </c>
      <c r="N12" s="34">
        <f t="shared" si="0"/>
        <v>102.68900000000002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1.0999999999999999E-2</v>
      </c>
      <c r="H13" s="35">
        <f>'ΙΣΤΟΣΕΛΙΔΑ-GR(4)'!H23</f>
        <v>1.4620000000000002</v>
      </c>
      <c r="I13" s="35">
        <f>'ΙΣΤΟΣΕΛΙΔΑ-GR(4)'!I23</f>
        <v>43.000000000000007</v>
      </c>
      <c r="J13" s="42">
        <f>'ΙΣΤΟΣΕΛΙΔΑ-GR(4)'!J23</f>
        <v>0.84299999999999997</v>
      </c>
      <c r="K13" s="42">
        <f>'ΙΣΤΟΣΕΛΙΔΑ-GR(4)'!K23</f>
        <v>24.794117647058822</v>
      </c>
      <c r="L13" s="39">
        <f>'ΙΣΤΟΣΕΛΙΔΑ-GR(4)'!L23</f>
        <v>2.198</v>
      </c>
      <c r="M13" s="34">
        <f t="shared" si="1"/>
        <v>290.80400000000003</v>
      </c>
      <c r="N13" s="34">
        <f t="shared" si="0"/>
        <v>102.68900000000002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1E-3</v>
      </c>
      <c r="G14" s="34">
        <f>'ΙΣΤΟΣΕΛΙΔΑ-GR(4)'!G29</f>
        <v>1.9000000000000003E-2</v>
      </c>
      <c r="H14" s="35">
        <f>'ΙΣΤΟΣΕΛΙΔΑ-GR(4)'!H29</f>
        <v>0.65300000000000002</v>
      </c>
      <c r="I14" s="35">
        <f>'ΙΣΤΟΣΕΛΙΔΑ-GR(4)'!I29</f>
        <v>29.954128440366972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1.974</v>
      </c>
      <c r="M14" s="34">
        <f t="shared" si="1"/>
        <v>290.80400000000003</v>
      </c>
      <c r="N14" s="34">
        <f t="shared" si="0"/>
        <v>102.68900000000002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1E-3</v>
      </c>
      <c r="H15" s="35">
        <f>'ΙΣΤΟΣΕΛΙΔΑ-GR(4)'!H38</f>
        <v>1.198</v>
      </c>
      <c r="I15" s="35">
        <f>'ΙΣΤΟΣΕΛΙΔΑ-GR(4)'!I38</f>
        <v>70.887573964497037</v>
      </c>
      <c r="J15" s="42">
        <f>'ΙΣΤΟΣΕΛΙΔΑ-GR(4)'!J38</f>
        <v>5.0000000000000001E-3</v>
      </c>
      <c r="K15" s="42">
        <f>'ΙΣΤΟΣΕΛΙΔΑ-GR(4)'!K38</f>
        <v>0.29585798816568049</v>
      </c>
      <c r="L15" s="39">
        <f>'ΙΣΤΟΣΕΛΙΔΑ-GR(4)'!L38</f>
        <v>1.69</v>
      </c>
      <c r="M15" s="34">
        <f t="shared" si="1"/>
        <v>290.80400000000003</v>
      </c>
      <c r="N15" s="34">
        <f t="shared" si="0"/>
        <v>102.68900000000002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1.1000000000000001E-2</v>
      </c>
      <c r="H16" s="35">
        <f>'ΙΣΤΟΣΕΛΙΔΑ-GR(4)'!H39</f>
        <v>1.0669999999999999</v>
      </c>
      <c r="I16" s="35">
        <f>'ΙΣΤΟΣΕΛΙΔΑ-GR(4)'!I39</f>
        <v>74.615384615384613</v>
      </c>
      <c r="J16" s="42">
        <f>'ΙΣΤΟΣΕΛΙΔΑ-GR(4)'!J39</f>
        <v>0.03</v>
      </c>
      <c r="K16" s="42">
        <f>'ΙΣΤΟΣΕΛΙΔΑ-GR(4)'!K39</f>
        <v>2.0979020979020979</v>
      </c>
      <c r="L16" s="39">
        <f>'ΙΣΤΟΣΕΛΙΔΑ-GR(4)'!L39</f>
        <v>1.43</v>
      </c>
      <c r="M16" s="34">
        <f t="shared" si="1"/>
        <v>290.80400000000003</v>
      </c>
      <c r="N16" s="34">
        <f t="shared" si="0"/>
        <v>102.68900000000002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1.1000000000000001E-2</v>
      </c>
      <c r="H17" s="35">
        <f>'ΙΣΤΟΣΕΛΙΔΑ-GR(4)'!H33</f>
        <v>0.441</v>
      </c>
      <c r="I17" s="35">
        <f>'ΙΣΤΟΣΕΛΙΔΑ-GR(4)'!I33</f>
        <v>44.545454545454547</v>
      </c>
      <c r="J17" s="42">
        <f>'ΙΣΤΟΣΕΛΙΔΑ-GR(4)'!J33</f>
        <v>3.0000000000000001E-3</v>
      </c>
      <c r="K17" s="42">
        <f>'ΙΣΤΟΣΕΛΙΔΑ-GR(4)'!K33</f>
        <v>0.30303030303030304</v>
      </c>
      <c r="L17" s="39">
        <f>'ΙΣΤΟΣΕΛΙΔΑ-GR(4)'!L33</f>
        <v>0.99</v>
      </c>
      <c r="M17" s="34">
        <f t="shared" si="1"/>
        <v>290.80400000000003</v>
      </c>
      <c r="N17" s="34">
        <f t="shared" si="0"/>
        <v>102.68900000000002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6.0000000000000001E-3</v>
      </c>
      <c r="H18" s="35">
        <f>'ΙΣΤΟΣΕΛΙΔΑ-GR(4)'!H34</f>
        <v>0.50600000000000001</v>
      </c>
      <c r="I18" s="35">
        <f>'ΙΣΤΟΣΕΛΙΔΑ-GR(4)'!I34</f>
        <v>58.83720930232559</v>
      </c>
      <c r="J18" s="42">
        <f>'ΙΣΤΟΣΕΛΙΔΑ-GR(4)'!J34</f>
        <v>0.115</v>
      </c>
      <c r="K18" s="42">
        <f>'ΙΣΤΟΣΕΛΙΔΑ-GR(4)'!K34</f>
        <v>13.372093023255815</v>
      </c>
      <c r="L18" s="39">
        <f>'ΙΣΤΟΣΕΛΙΔΑ-GR(4)'!L34</f>
        <v>0.86</v>
      </c>
      <c r="M18" s="34">
        <f t="shared" si="1"/>
        <v>290.80400000000003</v>
      </c>
      <c r="N18" s="34">
        <f t="shared" si="0"/>
        <v>102.68900000000002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0.04</v>
      </c>
      <c r="K19" s="42">
        <f>'ΙΣΤΟΣΕΛΙΔΑ-GR(4)'!K40</f>
        <v>11.019283746556475</v>
      </c>
      <c r="L19" s="39">
        <f>'ΙΣΤΟΣΕΛΙΔΑ-GR(4)'!L40</f>
        <v>0.36299999999999999</v>
      </c>
      <c r="M19" s="34">
        <f t="shared" si="1"/>
        <v>290.80400000000003</v>
      </c>
      <c r="N19" s="34">
        <f t="shared" si="0"/>
        <v>102.68900000000002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1.4E-2</v>
      </c>
      <c r="H20" s="35">
        <f>'ΙΣΤΟΣΕΛΙΔΑ-GR(4)'!H35</f>
        <v>0.14699999999999999</v>
      </c>
      <c r="I20" s="35">
        <f>'ΙΣΤΟΣΕΛΙΔΑ-GR(4)'!I35</f>
        <v>49.328859060402685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0.29799999999999999</v>
      </c>
      <c r="M20" s="34">
        <f t="shared" si="1"/>
        <v>290.80400000000003</v>
      </c>
      <c r="N20" s="34">
        <f t="shared" si="0"/>
        <v>102.68900000000002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8.2000000000000003E-2</v>
      </c>
      <c r="G21" s="36">
        <f>SUM(G3:G20)</f>
        <v>1.3709999999999996</v>
      </c>
      <c r="H21" s="35">
        <f>SUM(H3:H20)</f>
        <v>102.68900000000002</v>
      </c>
      <c r="I21" s="37">
        <f>H21/E21</f>
        <v>0.35312100246213951</v>
      </c>
      <c r="J21" s="43">
        <f>SUM(J3:J20)</f>
        <v>32.902000000000008</v>
      </c>
      <c r="K21" s="44">
        <f>J21/E21</f>
        <v>0.11314149736592345</v>
      </c>
      <c r="L21" s="38">
        <f>'ΙΣΤΟΣΕΛΙΔΑ-GR(4)'!L43</f>
        <v>123.443</v>
      </c>
      <c r="M21" s="34">
        <f t="shared" si="1"/>
        <v>290.80400000000003</v>
      </c>
      <c r="N21" s="34">
        <f t="shared" si="0"/>
        <v>102.68900000000002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16/17</v>
      </c>
      <c r="F26" s="85" t="str">
        <f>'ΙΣΤΟΣΕΛΙΔΑ-GR(4)'!D49</f>
        <v>17/18</v>
      </c>
      <c r="G26" s="85" t="str">
        <f>'ΙΣΤΟΣΕΛΙΔΑ-GR(4)'!E49</f>
        <v>18/19</v>
      </c>
      <c r="H26" s="85" t="str">
        <f>'ΙΣΤΟΣΕΛΙΔΑ-GR(4)'!F49</f>
        <v>19/20</v>
      </c>
      <c r="I26" s="85" t="str">
        <f>'ΙΣΤΟΣΕΛΙΔΑ-GR(4)'!G49</f>
        <v>20/21</v>
      </c>
      <c r="J26" s="85" t="str">
        <f>'ΙΣΤΟΣΕΛΙΔΑ-GR(4)'!H49</f>
        <v>21/22</v>
      </c>
      <c r="K26" s="85" t="str">
        <f>'ΙΣΤΟΣΕΛΙΔΑ-GR(4)'!I49</f>
        <v>22/23</v>
      </c>
      <c r="L26" s="85" t="str">
        <f>'ΙΣΤΟΣΕΛΙΔΑ-GR(4)'!J49</f>
        <v>23/24</v>
      </c>
      <c r="M26" s="85" t="str">
        <f>'ΙΣΤΟΣΕΛΙΔΑ-GR(4)'!K49</f>
        <v>24/25</v>
      </c>
      <c r="N26" s="85" t="str">
        <f>'ΙΣΤΟΣΕΛΙΔΑ-GR(4)'!L49</f>
        <v>25/26</v>
      </c>
      <c r="O26" s="85" t="str">
        <f>'ΙΣΤΟΣΕΛΙΔΑ-GR(4)'!M49</f>
        <v>26/27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0.247</v>
      </c>
      <c r="F27" s="46">
        <f>'ΙΣΤΟΣΕΛΙΔΑ-GR(4)'!D50</f>
        <v>0.14199999999999999</v>
      </c>
      <c r="G27" s="46">
        <f>'ΙΣΤΟΣΕΛΙΔΑ-GR(4)'!E50</f>
        <v>0.85799999999999998</v>
      </c>
      <c r="H27" s="46">
        <f>'ΙΣΤΟΣΕΛΙΔΑ-GR(4)'!F50</f>
        <v>2.4298378274389072</v>
      </c>
      <c r="I27" s="46">
        <f>'ΙΣΤΟΣΕΛΙΔΑ-GR(4)'!G50</f>
        <v>0.16500000000000001</v>
      </c>
      <c r="J27" s="46">
        <f>'ΙΣΤΟΣΕΛΙΔΑ-GR(4)'!H50</f>
        <v>8.4000000000000005E-2</v>
      </c>
      <c r="K27" s="46">
        <f>'ΙΣΤΟΣΕΛΙΔΑ-GR(4)'!I50</f>
        <v>3.9459999999999997</v>
      </c>
      <c r="L27" s="46">
        <f>'ΙΣΤΟΣΕΛΙΔΑ-GR(4)'!J50</f>
        <v>0.58300000000000018</v>
      </c>
      <c r="M27" s="46">
        <f>'ΙΣΤΟΣΕΛΙΔΑ-GR(4)'!K50</f>
        <v>0</v>
      </c>
      <c r="N27" s="46">
        <f>'ΙΣΤΟΣΕΛΙΔΑ-GR(4)'!L50</f>
        <v>9.5000000000000001E-2</v>
      </c>
      <c r="O27" s="46">
        <f>'ΙΣΤΟΣΕΛΙΔΑ-GR(4)'!M50</f>
        <v>1.3709999999999996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0.65700000000000003</v>
      </c>
      <c r="F28" s="46">
        <f>'ΙΣΤΟΣΕΛΙΔΑ-GR(4)'!D51</f>
        <v>0.61399999999999999</v>
      </c>
      <c r="G28" s="46">
        <f>'ΙΣΤΟΣΕΛΙΔΑ-GR(4)'!E51</f>
        <v>0.75700000000000001</v>
      </c>
      <c r="H28" s="46">
        <f>'ΙΣΤΟΣΕΛΙΔΑ-GR(4)'!F51</f>
        <v>1.5453236734428304</v>
      </c>
      <c r="I28" s="46">
        <f>'ΙΣΤΟΣΕΛΙΔΑ-GR(4)'!G51</f>
        <v>0.94200000000000017</v>
      </c>
      <c r="J28" s="46">
        <f>'ΙΣΤΟΣΕΛΙΔΑ-GR(4)'!H51</f>
        <v>0.39700000000000008</v>
      </c>
      <c r="K28" s="46">
        <f>'ΙΣΤΟΣΕΛΙΔΑ-GR(4)'!I51</f>
        <v>2.9759999999999995</v>
      </c>
      <c r="L28" s="46">
        <f>'ΙΣΤΟΣΕΛΙΔΑ-GR(4)'!J51</f>
        <v>1.5810000000000002</v>
      </c>
      <c r="M28" s="46">
        <f>'ΙΣΤΟΣΕΛΙΔΑ-GR(4)'!K51</f>
        <v>3.0839999999999987</v>
      </c>
      <c r="N28" s="46">
        <f>'ΙΣΤΟΣΕΛΙΔΑ-GR(4)'!L51</f>
        <v>0.20000000000000004</v>
      </c>
      <c r="O28" s="46">
        <f>'ΙΣΤΟΣΕΛΙΔΑ-GR(4)'!M51</f>
        <v>0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7.4240000000000004</v>
      </c>
      <c r="F29" s="46">
        <f>'ΙΣΤΟΣΕΛΙΔΑ-GR(4)'!D52</f>
        <v>0.88100000000000001</v>
      </c>
      <c r="G29" s="46">
        <f>'ΙΣΤΟΣΕΛΙΔΑ-GR(4)'!E52</f>
        <v>16.664999999999999</v>
      </c>
      <c r="H29" s="46">
        <f>'ΙΣΤΟΣΕΛΙΔΑ-GR(4)'!F52</f>
        <v>30.495000000000001</v>
      </c>
      <c r="I29" s="46">
        <f>'ΙΣΤΟΣΕΛΙΔΑ-GR(4)'!G52</f>
        <v>3.1070000000000007</v>
      </c>
      <c r="J29" s="46">
        <f>'ΙΣΤΟΣΕΛΙΔΑ-GR(4)'!H52</f>
        <v>11.922999999999998</v>
      </c>
      <c r="K29" s="46">
        <f>'ΙΣΤΟΣΕΛΙΔΑ-GR(4)'!I52</f>
        <v>2.9220000000000006</v>
      </c>
      <c r="L29" s="46">
        <f>'ΙΣΤΟΣΕΛΙΔΑ-GR(4)'!J52</f>
        <v>2.3400000000000007</v>
      </c>
      <c r="M29" s="46">
        <f>'ΙΣΤΟΣΕΛΙΔΑ-GR(4)'!K52</f>
        <v>5.71</v>
      </c>
      <c r="N29" s="46">
        <f>'ΙΣΤΟΣΕΛΙΔΑ-GR(4)'!L52</f>
        <v>1.9030000000000002</v>
      </c>
      <c r="O29" s="46">
        <f>'ΙΣΤΟΣΕΛΙΔΑ-GR(4)'!M52</f>
        <v>0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21.082999999999998</v>
      </c>
      <c r="F30" s="46">
        <f>'ΙΣΤΟΣΕΛΙΔΑ-GR(4)'!D53</f>
        <v>20.661000000000001</v>
      </c>
      <c r="G30" s="46">
        <f>'ΙΣΤΟΣΕΛΙΔΑ-GR(4)'!E53</f>
        <v>118.11</v>
      </c>
      <c r="H30" s="46">
        <f>'ΙΣΤΟΣΕΛΙΔΑ-GR(4)'!F53</f>
        <v>47.740000000000009</v>
      </c>
      <c r="I30" s="46">
        <f>'ΙΣΤΟΣΕΛΙΔΑ-GR(4)'!G53</f>
        <v>12.540000000000001</v>
      </c>
      <c r="J30" s="46">
        <f>'ΙΣΤΟΣΕΛΙΔΑ-GR(4)'!H53</f>
        <v>74.614000000000004</v>
      </c>
      <c r="K30" s="46">
        <f>'ΙΣΤΟΣΕΛΙΔΑ-GR(4)'!I53</f>
        <v>8.2679999999999989</v>
      </c>
      <c r="L30" s="46">
        <f>'ΙΣΤΟΣΕΛΙΔΑ-GR(4)'!J53</f>
        <v>7.3000000000000007</v>
      </c>
      <c r="M30" s="46">
        <f>'ΙΣΤΟΣΕΛΙΔΑ-GR(4)'!K53</f>
        <v>4.0620000000000012</v>
      </c>
      <c r="N30" s="46">
        <f>'ΙΣΤΟΣΕΛΙΔΑ-GR(4)'!L53</f>
        <v>12.670000000000002</v>
      </c>
      <c r="O30" s="46">
        <f>'ΙΣΤΟΣΕΛΙΔΑ-GR(4)'!M53</f>
        <v>0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4.181</v>
      </c>
      <c r="F31" s="46">
        <f>'ΙΣΤΟΣΕΛΙΔΑ-GR(4)'!D54</f>
        <v>9.5280000000000005</v>
      </c>
      <c r="G31" s="46">
        <f>'ΙΣΤΟΣΕΛΙΔΑ-GR(4)'!E54</f>
        <v>53.908999999999999</v>
      </c>
      <c r="H31" s="46">
        <f>'ΙΣΤΟΣΕΛΙΔΑ-GR(4)'!F54</f>
        <v>15.916000000000002</v>
      </c>
      <c r="I31" s="46">
        <f>'ΙΣΤΟΣΕΛΙΔΑ-GR(4)'!G54</f>
        <v>8.016</v>
      </c>
      <c r="J31" s="46">
        <f>'ΙΣΤΟΣΕΛΙΔΑ-GR(4)'!H54</f>
        <v>33.962999999999994</v>
      </c>
      <c r="K31" s="46">
        <f>'ΙΣΤΟΣΕΛΙΔΑ-GR(4)'!I54</f>
        <v>12.603</v>
      </c>
      <c r="L31" s="46">
        <f>'ΙΣΤΟΣΕΛΙΔΑ-GR(4)'!J54</f>
        <v>6.6760000000000019</v>
      </c>
      <c r="M31" s="46">
        <f>'ΙΣΤΟΣΕΛΙΔΑ-GR(4)'!K54</f>
        <v>2.4510000000000005</v>
      </c>
      <c r="N31" s="46">
        <f>'ΙΣΤΟΣΕΛΙΔΑ-GR(4)'!L54</f>
        <v>24.201000000000004</v>
      </c>
      <c r="O31" s="46">
        <f>'ΙΣΤΟΣΕΛΙΔΑ-GR(4)'!M54</f>
        <v>0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8.891</v>
      </c>
      <c r="F32" s="46">
        <f>'ΙΣΤΟΣΕΛΙΔΑ-GR(4)'!D55</f>
        <v>5.944</v>
      </c>
      <c r="G32" s="46">
        <f>'ΙΣΤΟΣΕΛΙΔΑ-GR(4)'!E55</f>
        <v>32.283000000000001</v>
      </c>
      <c r="H32" s="46">
        <f>'ΙΣΤΟΣΕΛΙΔΑ-GR(4)'!F55</f>
        <v>15.670000000000002</v>
      </c>
      <c r="I32" s="46">
        <f>'ΙΣΤΟΣΕΛΙΔΑ-GR(4)'!G55</f>
        <v>6.0219999999999994</v>
      </c>
      <c r="J32" s="46">
        <f>'ΙΣΤΟΣΕΛΙΔΑ-GR(4)'!H55</f>
        <v>19.801000000000002</v>
      </c>
      <c r="K32" s="46">
        <f>'ΙΣΤΟΣΕΛΙΔΑ-GR(4)'!I55</f>
        <v>9.5170000000000012</v>
      </c>
      <c r="L32" s="46">
        <f>'ΙΣΤΟΣΕΛΙΔΑ-GR(4)'!J55</f>
        <v>2.9200000000000004</v>
      </c>
      <c r="M32" s="46">
        <f>'ΙΣΤΟΣΕΛΙΔΑ-GR(4)'!K55</f>
        <v>1.4649999999999996</v>
      </c>
      <c r="N32" s="46">
        <f>'ΙΣΤΟΣΕΛΙΔΑ-GR(4)'!L55</f>
        <v>35.414000000000001</v>
      </c>
      <c r="O32" s="46">
        <f>'ΙΣΤΟΣΕΛΙΔΑ-GR(4)'!M55</f>
        <v>0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4.3979999999999997</v>
      </c>
      <c r="F33" s="46">
        <f>'ΙΣΤΟΣΕΛΙΔΑ-GR(4)'!D56</f>
        <v>2.1760000000000002</v>
      </c>
      <c r="G33" s="46">
        <f>'ΙΣΤΟΣΕΛΙΔΑ-GR(4)'!E56</f>
        <v>25.326000000000001</v>
      </c>
      <c r="H33" s="46">
        <f>'ΙΣΤΟΣΕΛΙΔΑ-GR(4)'!F56</f>
        <v>11.062000000000003</v>
      </c>
      <c r="I33" s="46">
        <f>'ΙΣΤΟΣΕΛΙΔΑ-GR(4)'!G56</f>
        <v>4.1559999999999988</v>
      </c>
      <c r="J33" s="46">
        <f>'ΙΣΤΟΣΕΛΙΔΑ-GR(4)'!H56</f>
        <v>8.1390000000000029</v>
      </c>
      <c r="K33" s="46">
        <f>'ΙΣΤΟΣΕΛΙΔΑ-GR(4)'!I56</f>
        <v>4.7410000000000005</v>
      </c>
      <c r="L33" s="46">
        <f>'ΙΣΤΟΣΕΛΙΔΑ-GR(4)'!J56</f>
        <v>1.8010000000000004</v>
      </c>
      <c r="M33" s="46">
        <f>'ΙΣΤΟΣΕΛΙΔΑ-GR(4)'!K56</f>
        <v>1.0959999999999999</v>
      </c>
      <c r="N33" s="46">
        <f>'ΙΣΤΟΣΕΛΙΔΑ-GR(4)'!L56</f>
        <v>23.609000000000002</v>
      </c>
      <c r="O33" s="46">
        <f>'ΙΣΤΟΣΕΛΙΔΑ-GR(4)'!M56</f>
        <v>0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1.78</v>
      </c>
      <c r="F34" s="46">
        <f>'ΙΣΤΟΣΕΛΙΔΑ-GR(4)'!D57</f>
        <v>2.802</v>
      </c>
      <c r="G34" s="46">
        <f>'ΙΣΤΟΣΕΛΙΔΑ-GR(4)'!E57</f>
        <v>8.868999999999998</v>
      </c>
      <c r="H34" s="46">
        <f>'ΙΣΤΟΣΕΛΙΔΑ-GR(4)'!F57</f>
        <v>7.3170000000000002</v>
      </c>
      <c r="I34" s="46">
        <f>'ΙΣΤΟΣΕΛΙΔΑ-GR(4)'!G57</f>
        <v>0.89900000000000024</v>
      </c>
      <c r="J34" s="46">
        <f>'ΙΣΤΟΣΕΛΙΔΑ-GR(4)'!H57</f>
        <v>3.4400000000000004</v>
      </c>
      <c r="K34" s="46">
        <f>'ΙΣΤΟΣΕΛΙΔΑ-GR(4)'!I57</f>
        <v>2.7279999999999998</v>
      </c>
      <c r="L34" s="46">
        <f>'ΙΣΤΟΣΕΛΙΔΑ-GR(4)'!J57</f>
        <v>0.91000000000000036</v>
      </c>
      <c r="M34" s="46">
        <f>'ΙΣΤΟΣΕΛΙΔΑ-GR(4)'!K57</f>
        <v>0.71600000000000019</v>
      </c>
      <c r="N34" s="46">
        <f>'ΙΣΤΟΣΕΛΙΔΑ-GR(4)'!L57</f>
        <v>13.220999999999998</v>
      </c>
      <c r="O34" s="46">
        <f>'ΙΣΤΟΣΕΛΙΔΑ-GR(4)'!M57</f>
        <v>0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0.22800000000000001</v>
      </c>
      <c r="F35" s="46">
        <f>'ΙΣΤΟΣΕΛΙΔΑ-GR(4)'!D58</f>
        <v>2.0219999999999998</v>
      </c>
      <c r="G35" s="46">
        <f>'ΙΣΤΟΣΕΛΙΔΑ-GR(4)'!E58</f>
        <v>6.1989999999999998</v>
      </c>
      <c r="H35" s="46">
        <f>'ΙΣΤΟΣΕΛΙΔΑ-GR(4)'!F58</f>
        <v>2.7469999999999999</v>
      </c>
      <c r="I35" s="46">
        <f>'ΙΣΤΟΣΕΛΙΔΑ-GR(4)'!G58</f>
        <v>0.192</v>
      </c>
      <c r="J35" s="46">
        <f>'ΙΣΤΟΣΕΛΙΔΑ-GR(4)'!H58</f>
        <v>1.2640000000000002</v>
      </c>
      <c r="K35" s="46">
        <f>'ΙΣΤΟΣΕΛΙΔΑ-GR(4)'!I58</f>
        <v>0.89100000000000013</v>
      </c>
      <c r="L35" s="46">
        <f>'ΙΣΤΟΣΕΛΙΔΑ-GR(4)'!J58</f>
        <v>0.29700000000000004</v>
      </c>
      <c r="M35" s="46">
        <f>'ΙΣΤΟΣΕΛΙΔΑ-GR(4)'!K58</f>
        <v>7.6000000000000012E-2</v>
      </c>
      <c r="N35" s="46">
        <f>'ΙΣΤΟΣΕΛΙΔΑ-GR(4)'!L58</f>
        <v>3.0700000000000003</v>
      </c>
      <c r="O35" s="46">
        <f>'ΙΣΤΟΣΕΛΙΔΑ-GR(4)'!M58</f>
        <v>0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0.05</v>
      </c>
      <c r="G36" s="46">
        <f>'ΙΣΤΟΣΕΛΙΔΑ-GR(4)'!E59</f>
        <v>1.524</v>
      </c>
      <c r="H36" s="46">
        <f>'ΙΣΤΟΣΕΛΙΔΑ-GR(4)'!F59</f>
        <v>0.86600000000000021</v>
      </c>
      <c r="I36" s="46">
        <f>'ΙΣΤΟΣΕΛΙΔΑ-GR(4)'!G59</f>
        <v>2.4E-2</v>
      </c>
      <c r="J36" s="46">
        <f>'ΙΣΤΟΣΕΛΙΔΑ-GR(4)'!H59</f>
        <v>9.2999999999999999E-2</v>
      </c>
      <c r="K36" s="46">
        <f>'ΙΣΤΟΣΕΛΙΔΑ-GR(4)'!I59</f>
        <v>0</v>
      </c>
      <c r="L36" s="46">
        <f>'ΙΣΤΟΣΕΛΙΔΑ-GR(4)'!J59</f>
        <v>9.8000000000000004E-2</v>
      </c>
      <c r="M36" s="46">
        <f>'ΙΣΤΟΣΕΛΙΔΑ-GR(4)'!K59</f>
        <v>0</v>
      </c>
      <c r="N36" s="46">
        <f>'ΙΣΤΟΣΕΛΙΔΑ-GR(4)'!L59</f>
        <v>1.1120000000000003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0</v>
      </c>
      <c r="F37" s="46">
        <f>'ΙΣΤΟΣΕΛΙΔΑ-GR(4)'!D60</f>
        <v>7.6999999999999999E-2</v>
      </c>
      <c r="G37" s="46">
        <f>'ΙΣΤΟΣΕΛΙΔΑ-GR(4)'!E60</f>
        <v>0.54209980586723205</v>
      </c>
      <c r="H37" s="46">
        <f>'ΙΣΤΟΣΕΛΙΔΑ-GR(4)'!F60</f>
        <v>0.161</v>
      </c>
      <c r="I37" s="46">
        <f>'ΙΣΤΟΣΕΛΙΔΑ-GR(4)'!G60</f>
        <v>3.5000000000000003E-2</v>
      </c>
      <c r="J37" s="46">
        <f>'ΙΣΤΟΣΕΛΙΔΑ-GR(4)'!H60</f>
        <v>3.4999999999999996E-2</v>
      </c>
      <c r="K37" s="46">
        <f>'ΙΣΤΟΣΕΛΙΔΑ-GR(4)'!I60</f>
        <v>0.186</v>
      </c>
      <c r="L37" s="46">
        <f>'ΙΣΤΟΣΕΛΙΔΑ-GR(4)'!J60</f>
        <v>0.20799999999999999</v>
      </c>
      <c r="M37" s="46">
        <f>'ΙΣΤΟΣΕΛΙΔΑ-GR(4)'!K60</f>
        <v>4.0000000000000001E-3</v>
      </c>
      <c r="N37" s="46">
        <f>'ΙΣΤΟΣΕΛΙΔΑ-GR(4)'!L60</f>
        <v>1.5960000000000003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48.889000000000003</v>
      </c>
      <c r="F38" s="48">
        <f t="shared" si="3"/>
        <v>44.896999999999998</v>
      </c>
      <c r="G38" s="48">
        <f t="shared" si="3"/>
        <v>265.04209980586722</v>
      </c>
      <c r="H38" s="48">
        <f t="shared" si="3"/>
        <v>135.94916150088179</v>
      </c>
      <c r="I38" s="48">
        <f t="shared" si="3"/>
        <v>36.097999999999999</v>
      </c>
      <c r="J38" s="48">
        <f t="shared" si="3"/>
        <v>153.75299999999999</v>
      </c>
      <c r="K38" s="48">
        <f t="shared" si="3"/>
        <v>48.777999999999999</v>
      </c>
      <c r="L38" s="48">
        <f t="shared" si="3"/>
        <v>24.714000000000006</v>
      </c>
      <c r="M38" s="48">
        <f t="shared" si="3"/>
        <v>18.664000000000001</v>
      </c>
      <c r="N38" s="48">
        <f t="shared" si="3"/>
        <v>117.09100000000001</v>
      </c>
      <c r="O38" s="48">
        <f t="shared" si="3"/>
        <v>1.3709999999999996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8.3280000000000012</v>
      </c>
      <c r="F39" s="35">
        <f t="shared" si="4"/>
        <v>1.637</v>
      </c>
      <c r="G39" s="35">
        <f t="shared" si="4"/>
        <v>18.279999999999998</v>
      </c>
      <c r="H39" s="35">
        <f t="shared" si="4"/>
        <v>34.470161500881737</v>
      </c>
      <c r="I39" s="35">
        <f t="shared" si="4"/>
        <v>4.2140000000000004</v>
      </c>
      <c r="J39" s="35">
        <f t="shared" si="4"/>
        <v>12.403999999999998</v>
      </c>
      <c r="K39" s="35">
        <f t="shared" si="4"/>
        <v>9.8439999999999994</v>
      </c>
      <c r="L39" s="35">
        <f t="shared" si="4"/>
        <v>4.5040000000000013</v>
      </c>
      <c r="M39" s="35">
        <f t="shared" si="4"/>
        <v>8.7939999999999987</v>
      </c>
      <c r="N39" s="35">
        <f t="shared" si="4"/>
        <v>2.1980000000000004</v>
      </c>
      <c r="O39" s="35">
        <f t="shared" si="4"/>
        <v>1.3709999999999996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2026-10-20T08:38:14Z</dcterms:modified>
</cp:coreProperties>
</file>