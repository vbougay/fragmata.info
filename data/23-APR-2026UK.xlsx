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13_ncr:1_{1B314E92-2CBA-41BE-ABE1-7E91ACD014B1}" xr6:coauthVersionLast="47" xr6:coauthVersionMax="47" xr10:uidLastSave="{00000000-0000-0000-0000-000000000000}"/>
  <bookViews>
    <workbookView xWindow="-120" yWindow="-120" windowWidth="29040" windowHeight="15720" tabRatio="595" firstSheet="1" activeTab="4" xr2:uid="{00000000-000D-0000-FFFF-FFFF00000000}"/>
  </bookViews>
  <sheets>
    <sheet name="DAILY-ELEV-STR(1)" sheetId="1" r:id="rId1"/>
    <sheet name="ΚΑΤΑΧΩΡΗΣΗ-ΕΛΕΓΧΟΣ(2)" sheetId="34" r:id="rId2"/>
    <sheet name="ΕΙΣΡΟΕΣ-ΕΚΡΟΕΣ(3)" sheetId="442" r:id="rId3"/>
    <sheet name="ΙΣΤΟΣΕΛΙΔΑ-GR(4)" sheetId="435" r:id="rId4"/>
    <sheet name="ΙΣΤΟΣΕΛΙΔΑ-UK(5)" sheetId="469" r:id="rId5"/>
  </sheets>
  <definedNames>
    <definedName name="_xlnm.Print_Area" localSheetId="0">'DAILY-ELEV-STR(1)'!$AV$3:$BC$21</definedName>
    <definedName name="_xlnm.Print_Area" localSheetId="2">'ΕΙΣΡΟΕΣ-ΕΚΡΟΕΣ(3)'!$A$1:$N$71</definedName>
    <definedName name="_xlnm.Print_Area" localSheetId="3">'ΙΣΤΟΣΕΛΙΔΑ-GR(4)'!$B$1:$M$66</definedName>
    <definedName name="_xlnm.Print_Area" localSheetId="4">'ΙΣΤΟΣΕΛΙΔΑ-UK(5)'!$B$1:$M$66</definedName>
    <definedName name="_xlnm.Print_Area" localSheetId="1">'ΚΑΤΑΧΩΡΗΣΗ-ΕΛΕΓΧΟΣ(2)'!$B$2:$O$62</definedName>
    <definedName name="_xlnm.Print_Titles" localSheetId="3">'ΙΣΤΟΣΕΛΙΔΑ-GR(4)'!$B:$C</definedName>
    <definedName name="_xlnm.Print_Titles" localSheetId="4">'ΙΣΤΟΣΕΛΙΔΑ-UK(5)'!$B:$C</definedName>
  </definedNames>
  <calcPr calcId="191029"/>
</workbook>
</file>

<file path=xl/calcChain.xml><?xml version="1.0" encoding="utf-8"?>
<calcChain xmlns="http://schemas.openxmlformats.org/spreadsheetml/2006/main">
  <c r="BC61" i="1" l="1"/>
  <c r="BA61" i="1"/>
  <c r="AY61" i="1"/>
  <c r="U61" i="1"/>
  <c r="T61" i="1"/>
  <c r="S61" i="1"/>
  <c r="R61" i="1"/>
  <c r="P61" i="1"/>
  <c r="O61" i="1"/>
  <c r="N61" i="1"/>
  <c r="M61" i="1"/>
  <c r="L61" i="1"/>
  <c r="K61" i="1"/>
  <c r="J61" i="1"/>
  <c r="I61" i="1"/>
  <c r="G61" i="1"/>
  <c r="F61" i="1"/>
  <c r="B61" i="1"/>
  <c r="U44" i="1"/>
  <c r="BC42" i="1"/>
  <c r="BA42" i="1"/>
  <c r="AY42" i="1"/>
  <c r="U42" i="1"/>
  <c r="T42" i="1"/>
  <c r="S42" i="1"/>
  <c r="R42" i="1"/>
  <c r="P42" i="1"/>
  <c r="O42" i="1"/>
  <c r="N42" i="1"/>
  <c r="M42" i="1"/>
  <c r="L42" i="1"/>
  <c r="K42" i="1"/>
  <c r="J42" i="1"/>
  <c r="I42" i="1"/>
  <c r="H42" i="1"/>
  <c r="G42" i="1"/>
  <c r="F42" i="1"/>
  <c r="U30" i="1"/>
  <c r="T30" i="1"/>
  <c r="S30" i="1"/>
  <c r="R30" i="1"/>
  <c r="Q30" i="1"/>
  <c r="Q61" i="1" s="1"/>
  <c r="P30" i="1"/>
  <c r="O30" i="1"/>
  <c r="N30" i="1"/>
  <c r="M30" i="1"/>
  <c r="L30" i="1"/>
  <c r="K30" i="1"/>
  <c r="J30" i="1"/>
  <c r="I30" i="1"/>
  <c r="H30" i="1"/>
  <c r="H61" i="1" s="1"/>
  <c r="G30" i="1"/>
  <c r="F30" i="1"/>
  <c r="E30" i="1"/>
  <c r="E42" i="1" s="1"/>
  <c r="D30" i="1"/>
  <c r="BC30" i="1"/>
  <c r="AL30" i="1"/>
  <c r="G32" i="34"/>
  <c r="G28" i="34"/>
  <c r="G23" i="34"/>
  <c r="G22" i="34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BC29" i="1"/>
  <c r="AL29" i="1"/>
  <c r="Q42" i="1" l="1"/>
  <c r="W30" i="1"/>
  <c r="W61" i="1" s="1"/>
  <c r="E61" i="1"/>
  <c r="D42" i="1"/>
  <c r="D61" i="1"/>
  <c r="V30" i="1"/>
  <c r="W29" i="1"/>
  <c r="V29" i="1"/>
  <c r="G30" i="34"/>
  <c r="G29" i="34"/>
  <c r="G27" i="34"/>
  <c r="G26" i="34"/>
  <c r="G25" i="34"/>
  <c r="G24" i="34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BC28" i="1"/>
  <c r="AL28" i="1"/>
  <c r="G31" i="34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BC27" i="1"/>
  <c r="AL27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BC24" i="1"/>
  <c r="AL24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BC23" i="1"/>
  <c r="AL23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BC22" i="1"/>
  <c r="AL22" i="1"/>
  <c r="I21" i="1"/>
  <c r="AL21" i="1"/>
  <c r="M21" i="1"/>
  <c r="N21" i="1"/>
  <c r="U21" i="1"/>
  <c r="T21" i="1"/>
  <c r="S21" i="1"/>
  <c r="R21" i="1"/>
  <c r="Q21" i="1"/>
  <c r="P21" i="1"/>
  <c r="O21" i="1"/>
  <c r="L21" i="1"/>
  <c r="K21" i="1"/>
  <c r="J21" i="1"/>
  <c r="H21" i="1"/>
  <c r="G21" i="1"/>
  <c r="F21" i="1"/>
  <c r="E21" i="1"/>
  <c r="D21" i="1"/>
  <c r="BC21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BC16" i="1"/>
  <c r="AL16" i="1"/>
  <c r="AL15" i="1"/>
  <c r="M15" i="1" s="1"/>
  <c r="U15" i="1"/>
  <c r="T15" i="1"/>
  <c r="S15" i="1"/>
  <c r="R15" i="1"/>
  <c r="Q15" i="1"/>
  <c r="P15" i="1"/>
  <c r="O15" i="1"/>
  <c r="N15" i="1"/>
  <c r="L15" i="1"/>
  <c r="K15" i="1"/>
  <c r="J15" i="1"/>
  <c r="I15" i="1"/>
  <c r="H15" i="1"/>
  <c r="G15" i="1"/>
  <c r="F15" i="1"/>
  <c r="E15" i="1"/>
  <c r="D15" i="1"/>
  <c r="BC15" i="1"/>
  <c r="G188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BC14" i="1"/>
  <c r="AL14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BC13" i="1"/>
  <c r="AL13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BC10" i="1"/>
  <c r="AL10" i="1"/>
  <c r="O55" i="34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BC9" i="1"/>
  <c r="AL9" i="1"/>
  <c r="BC8" i="1"/>
  <c r="AL8" i="1"/>
  <c r="W42" i="1" l="1"/>
  <c r="V61" i="1"/>
  <c r="V42" i="1"/>
  <c r="W28" i="1"/>
  <c r="V28" i="1"/>
  <c r="V27" i="1"/>
  <c r="W27" i="1"/>
  <c r="W24" i="1"/>
  <c r="V24" i="1"/>
  <c r="W23" i="1"/>
  <c r="V23" i="1"/>
  <c r="W22" i="1"/>
  <c r="V22" i="1"/>
  <c r="W21" i="1"/>
  <c r="V21" i="1"/>
  <c r="W16" i="1"/>
  <c r="V16" i="1"/>
  <c r="W15" i="1"/>
  <c r="V15" i="1"/>
  <c r="W14" i="1"/>
  <c r="V14" i="1"/>
  <c r="W13" i="1"/>
  <c r="V13" i="1"/>
  <c r="W10" i="1"/>
  <c r="V10" i="1"/>
  <c r="W9" i="1"/>
  <c r="V9" i="1"/>
  <c r="W8" i="1"/>
  <c r="V8" i="1"/>
  <c r="J65" i="435" l="1"/>
  <c r="J64" i="435"/>
  <c r="J63" i="435"/>
  <c r="L40" i="34" l="1"/>
  <c r="G37" i="34" l="1"/>
  <c r="J17" i="469" l="1"/>
  <c r="J18" i="469"/>
  <c r="J19" i="469"/>
  <c r="K23" i="442" l="1"/>
  <c r="AB41" i="1" l="1"/>
  <c r="G21" i="34" l="1"/>
  <c r="AB40" i="1" l="1"/>
  <c r="D99" i="1" l="1"/>
  <c r="G38" i="34" l="1"/>
  <c r="BN41" i="1" l="1"/>
  <c r="G35" i="34" l="1"/>
  <c r="BA44" i="1" l="1"/>
  <c r="AY44" i="1"/>
  <c r="BC44" i="1"/>
  <c r="Z115" i="1" l="1"/>
  <c r="J65" i="469" l="1"/>
  <c r="K65" i="469" s="1"/>
  <c r="J64" i="469"/>
  <c r="K64" i="469" s="1"/>
  <c r="J63" i="469"/>
  <c r="K63" i="469" s="1"/>
  <c r="M41" i="469"/>
  <c r="L41" i="469"/>
  <c r="M36" i="469"/>
  <c r="L36" i="469"/>
  <c r="M30" i="469"/>
  <c r="L30" i="469"/>
  <c r="L60" i="469"/>
  <c r="K60" i="469"/>
  <c r="J60" i="469"/>
  <c r="I60" i="469"/>
  <c r="H60" i="469"/>
  <c r="G60" i="469"/>
  <c r="F60" i="469"/>
  <c r="E60" i="469"/>
  <c r="D60" i="469"/>
  <c r="C60" i="469"/>
  <c r="L59" i="469"/>
  <c r="K59" i="469"/>
  <c r="J59" i="469"/>
  <c r="I59" i="469"/>
  <c r="H59" i="469"/>
  <c r="G59" i="469"/>
  <c r="F59" i="469"/>
  <c r="E59" i="469"/>
  <c r="D59" i="469"/>
  <c r="C59" i="469"/>
  <c r="L58" i="469"/>
  <c r="K58" i="469"/>
  <c r="J58" i="469"/>
  <c r="I58" i="469"/>
  <c r="H58" i="469"/>
  <c r="G58" i="469"/>
  <c r="F58" i="469"/>
  <c r="E58" i="469"/>
  <c r="D58" i="469"/>
  <c r="C58" i="469"/>
  <c r="L57" i="469"/>
  <c r="K57" i="469"/>
  <c r="J57" i="469"/>
  <c r="I57" i="469"/>
  <c r="H57" i="469"/>
  <c r="G57" i="469"/>
  <c r="F57" i="469"/>
  <c r="E57" i="469"/>
  <c r="D57" i="469"/>
  <c r="C57" i="469"/>
  <c r="L56" i="469"/>
  <c r="K56" i="469"/>
  <c r="J56" i="469"/>
  <c r="I56" i="469"/>
  <c r="H56" i="469"/>
  <c r="G56" i="469"/>
  <c r="F56" i="469"/>
  <c r="E56" i="469"/>
  <c r="D56" i="469"/>
  <c r="C56" i="469"/>
  <c r="L55" i="469"/>
  <c r="K55" i="469"/>
  <c r="J55" i="469"/>
  <c r="I55" i="469"/>
  <c r="H55" i="469"/>
  <c r="G55" i="469"/>
  <c r="F55" i="469"/>
  <c r="E55" i="469"/>
  <c r="D55" i="469"/>
  <c r="C55" i="469"/>
  <c r="L54" i="469"/>
  <c r="K54" i="469"/>
  <c r="J54" i="469"/>
  <c r="I54" i="469"/>
  <c r="H54" i="469"/>
  <c r="G54" i="469"/>
  <c r="F54" i="469"/>
  <c r="E54" i="469"/>
  <c r="D54" i="469"/>
  <c r="C54" i="469"/>
  <c r="L53" i="469"/>
  <c r="K53" i="469"/>
  <c r="J53" i="469"/>
  <c r="I53" i="469"/>
  <c r="H53" i="469"/>
  <c r="G53" i="469"/>
  <c r="F53" i="469"/>
  <c r="E53" i="469"/>
  <c r="D53" i="469"/>
  <c r="C53" i="469"/>
  <c r="L52" i="469"/>
  <c r="K52" i="469"/>
  <c r="J52" i="469"/>
  <c r="I52" i="469"/>
  <c r="H52" i="469"/>
  <c r="G52" i="469"/>
  <c r="F52" i="469"/>
  <c r="E52" i="469"/>
  <c r="D52" i="469"/>
  <c r="C52" i="469"/>
  <c r="L51" i="469"/>
  <c r="K51" i="469"/>
  <c r="J51" i="469"/>
  <c r="I51" i="469"/>
  <c r="H51" i="469"/>
  <c r="G51" i="469"/>
  <c r="F51" i="469"/>
  <c r="E51" i="469"/>
  <c r="D51" i="469"/>
  <c r="C51" i="469"/>
  <c r="L50" i="469"/>
  <c r="K50" i="469"/>
  <c r="J50" i="469"/>
  <c r="I50" i="469"/>
  <c r="H50" i="469"/>
  <c r="G50" i="469"/>
  <c r="F50" i="469"/>
  <c r="E50" i="469"/>
  <c r="D50" i="469"/>
  <c r="C50" i="469"/>
  <c r="M49" i="469"/>
  <c r="L49" i="469"/>
  <c r="K49" i="469"/>
  <c r="J49" i="469"/>
  <c r="I49" i="469"/>
  <c r="H49" i="469"/>
  <c r="G49" i="469"/>
  <c r="F49" i="469"/>
  <c r="E49" i="469"/>
  <c r="D49" i="469"/>
  <c r="C49" i="469"/>
  <c r="J40" i="469"/>
  <c r="K40" i="469" s="1"/>
  <c r="J39" i="469"/>
  <c r="K39" i="469" s="1"/>
  <c r="J38" i="469"/>
  <c r="J35" i="469"/>
  <c r="K35" i="469" s="1"/>
  <c r="J34" i="469"/>
  <c r="K34" i="469" s="1"/>
  <c r="J33" i="469"/>
  <c r="K33" i="469" s="1"/>
  <c r="J32" i="469"/>
  <c r="K32" i="469" s="1"/>
  <c r="J29" i="469"/>
  <c r="K29" i="469" s="1"/>
  <c r="J28" i="469"/>
  <c r="K28" i="469" s="1"/>
  <c r="J27" i="469"/>
  <c r="K27" i="469" s="1"/>
  <c r="J24" i="469"/>
  <c r="J23" i="469"/>
  <c r="K23" i="469" s="1"/>
  <c r="J22" i="469"/>
  <c r="K22" i="469" s="1"/>
  <c r="J21" i="469"/>
  <c r="J20" i="469"/>
  <c r="K20" i="469" s="1"/>
  <c r="K19" i="469"/>
  <c r="K18" i="469"/>
  <c r="K17" i="469"/>
  <c r="G15" i="469"/>
  <c r="L14" i="469"/>
  <c r="L10" i="469"/>
  <c r="H40" i="469"/>
  <c r="I40" i="469" s="1"/>
  <c r="H34" i="469"/>
  <c r="I34" i="469" s="1"/>
  <c r="H33" i="469"/>
  <c r="I33" i="469" s="1"/>
  <c r="H39" i="469"/>
  <c r="I39" i="469" s="1"/>
  <c r="H29" i="469"/>
  <c r="I29" i="469" s="1"/>
  <c r="H20" i="469"/>
  <c r="I20" i="469" s="1"/>
  <c r="H28" i="469"/>
  <c r="I28" i="469" s="1"/>
  <c r="H27" i="469"/>
  <c r="C61" i="469" l="1"/>
  <c r="K61" i="469"/>
  <c r="J61" i="469"/>
  <c r="H35" i="469"/>
  <c r="I35" i="469" s="1"/>
  <c r="H22" i="469"/>
  <c r="I22" i="469" s="1"/>
  <c r="H38" i="469"/>
  <c r="H30" i="469"/>
  <c r="I30" i="469" s="1"/>
  <c r="H23" i="469"/>
  <c r="I23" i="469" s="1"/>
  <c r="H24" i="469"/>
  <c r="I24" i="469" s="1"/>
  <c r="H21" i="469"/>
  <c r="I21" i="469" s="1"/>
  <c r="H19" i="469"/>
  <c r="I19" i="469" s="1"/>
  <c r="H18" i="469"/>
  <c r="I18" i="469" s="1"/>
  <c r="H32" i="469"/>
  <c r="I32" i="469" s="1"/>
  <c r="H17" i="469"/>
  <c r="J25" i="469"/>
  <c r="K25" i="469" s="1"/>
  <c r="K21" i="469"/>
  <c r="J41" i="469"/>
  <c r="K41" i="469" s="1"/>
  <c r="D61" i="469"/>
  <c r="L61" i="469"/>
  <c r="I61" i="469"/>
  <c r="I27" i="469"/>
  <c r="E61" i="469"/>
  <c r="F61" i="469"/>
  <c r="G61" i="469"/>
  <c r="H61" i="469"/>
  <c r="J36" i="469"/>
  <c r="K36" i="469" s="1"/>
  <c r="J30" i="469"/>
  <c r="K30" i="469" s="1"/>
  <c r="K24" i="469"/>
  <c r="K38" i="469"/>
  <c r="H41" i="469" l="1"/>
  <c r="I41" i="469" s="1"/>
  <c r="I38" i="469"/>
  <c r="H25" i="469"/>
  <c r="I25" i="469" s="1"/>
  <c r="H36" i="469"/>
  <c r="I36" i="469" s="1"/>
  <c r="I17" i="469"/>
  <c r="J43" i="469"/>
  <c r="K43" i="469" s="1"/>
  <c r="H43" i="469" l="1"/>
  <c r="I43" i="469" s="1"/>
  <c r="AC9" i="1" l="1"/>
  <c r="AB9" i="1"/>
  <c r="AC8" i="1"/>
  <c r="AB8" i="1"/>
  <c r="U99" i="1" l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M25" i="34" l="1"/>
  <c r="M26" i="34"/>
  <c r="M27" i="34"/>
  <c r="G33" i="34" l="1"/>
  <c r="U137" i="1" l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B20" i="1" l="1"/>
  <c r="AC20" i="1"/>
  <c r="L59" i="442" l="1"/>
  <c r="AB10" i="1" l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K24" i="442" l="1"/>
  <c r="K25" i="442"/>
  <c r="K26" i="442"/>
  <c r="K27" i="442"/>
  <c r="K28" i="442"/>
  <c r="K29" i="442"/>
  <c r="AL42" i="1" l="1"/>
  <c r="B51" i="442" l="1"/>
  <c r="Y99" i="1"/>
  <c r="Y112" i="1" s="1"/>
  <c r="M63" i="435" l="1"/>
  <c r="Y115" i="1" l="1"/>
  <c r="N49" i="442"/>
  <c r="M43" i="469" s="1"/>
  <c r="BZ38" i="1" l="1"/>
  <c r="BZ39" i="1"/>
  <c r="M65" i="442" l="1"/>
  <c r="M49" i="435" l="1"/>
  <c r="L49" i="435"/>
  <c r="K49" i="435"/>
  <c r="J49" i="435"/>
  <c r="I49" i="435"/>
  <c r="H49" i="435"/>
  <c r="G49" i="435"/>
  <c r="F49" i="435"/>
  <c r="E49" i="435"/>
  <c r="D49" i="435"/>
  <c r="C49" i="435"/>
  <c r="V144" i="1" l="1"/>
  <c r="V145" i="1"/>
  <c r="V146" i="1"/>
  <c r="V147" i="1"/>
  <c r="I70" i="442" l="1"/>
  <c r="H65" i="469" s="1"/>
  <c r="I65" i="469" s="1"/>
  <c r="I69" i="442"/>
  <c r="H64" i="469" s="1"/>
  <c r="I64" i="469" s="1"/>
  <c r="I68" i="442"/>
  <c r="H63" i="469" s="1"/>
  <c r="I63" i="469" s="1"/>
  <c r="BR18" i="1" l="1"/>
  <c r="L192" i="1" s="1"/>
  <c r="E41" i="34" l="1"/>
  <c r="K45" i="435" l="1"/>
  <c r="B45" i="435"/>
  <c r="G36" i="34" l="1"/>
  <c r="E16" i="442" l="1"/>
  <c r="E68" i="442" l="1"/>
  <c r="G68" i="442" s="1"/>
  <c r="AY45" i="1"/>
  <c r="AY46" i="1" s="1"/>
  <c r="G63" i="435" s="1"/>
  <c r="BA45" i="1"/>
  <c r="BA46" i="1" s="1"/>
  <c r="H69" i="442" l="1"/>
  <c r="G64" i="469" s="1"/>
  <c r="G64" i="435"/>
  <c r="E69" i="442"/>
  <c r="G69" i="442" s="1"/>
  <c r="F64" i="435"/>
  <c r="F64" i="469" s="1"/>
  <c r="F63" i="435"/>
  <c r="F63" i="469" s="1"/>
  <c r="H68" i="442"/>
  <c r="G63" i="469" s="1"/>
  <c r="G34" i="34"/>
  <c r="G39" i="34" l="1"/>
  <c r="G41" i="34" s="1"/>
  <c r="BC45" i="1" l="1"/>
  <c r="BC46" i="1" s="1"/>
  <c r="E70" i="442"/>
  <c r="G70" i="442" s="1"/>
  <c r="F65" i="435"/>
  <c r="F65" i="469" s="1"/>
  <c r="H70" i="442" l="1"/>
  <c r="G65" i="469" s="1"/>
  <c r="G65" i="435"/>
  <c r="M43" i="435" l="1"/>
  <c r="M41" i="435"/>
  <c r="L41" i="435"/>
  <c r="L36" i="435"/>
  <c r="L30" i="435"/>
  <c r="M36" i="435"/>
  <c r="M30" i="435"/>
  <c r="L14" i="435"/>
  <c r="G15" i="435"/>
  <c r="M49" i="442"/>
  <c r="N46" i="442"/>
  <c r="M40" i="469" s="1"/>
  <c r="M46" i="442"/>
  <c r="N45" i="442"/>
  <c r="N44" i="442"/>
  <c r="M38" i="469" s="1"/>
  <c r="M45" i="442"/>
  <c r="L39" i="469" s="1"/>
  <c r="M44" i="442"/>
  <c r="N41" i="442"/>
  <c r="M41" i="442"/>
  <c r="N40" i="442"/>
  <c r="M40" i="442"/>
  <c r="L34" i="469" s="1"/>
  <c r="N39" i="442"/>
  <c r="M33" i="469" s="1"/>
  <c r="M39" i="442"/>
  <c r="L33" i="469" s="1"/>
  <c r="N38" i="442"/>
  <c r="M38" i="442"/>
  <c r="L32" i="469" s="1"/>
  <c r="N35" i="442"/>
  <c r="M35" i="442"/>
  <c r="L29" i="469" s="1"/>
  <c r="N34" i="442"/>
  <c r="M28" i="469" s="1"/>
  <c r="M34" i="442"/>
  <c r="N33" i="442"/>
  <c r="M33" i="442"/>
  <c r="L27" i="469" s="1"/>
  <c r="N31" i="442"/>
  <c r="M25" i="469" s="1"/>
  <c r="M31" i="442"/>
  <c r="L25" i="469" s="1"/>
  <c r="N30" i="442"/>
  <c r="M30" i="442"/>
  <c r="L24" i="469" s="1"/>
  <c r="N25" i="442"/>
  <c r="M19" i="469" s="1"/>
  <c r="N26" i="442"/>
  <c r="N27" i="442"/>
  <c r="M21" i="469" s="1"/>
  <c r="N28" i="442"/>
  <c r="N29" i="442"/>
  <c r="M23" i="469" s="1"/>
  <c r="M25" i="442"/>
  <c r="M26" i="442"/>
  <c r="L20" i="469" s="1"/>
  <c r="M27" i="442"/>
  <c r="L21" i="469" s="1"/>
  <c r="M28" i="442"/>
  <c r="L22" i="469" s="1"/>
  <c r="M29" i="442"/>
  <c r="N24" i="442"/>
  <c r="M24" i="442"/>
  <c r="L18" i="469" s="1"/>
  <c r="N23" i="442"/>
  <c r="M17" i="469" s="1"/>
  <c r="M23" i="442"/>
  <c r="M17" i="442"/>
  <c r="H21" i="442"/>
  <c r="C51" i="435"/>
  <c r="D51" i="435"/>
  <c r="E51" i="435"/>
  <c r="F51" i="435"/>
  <c r="G51" i="435"/>
  <c r="H51" i="435"/>
  <c r="I51" i="435"/>
  <c r="J51" i="435"/>
  <c r="K51" i="435"/>
  <c r="L51" i="435"/>
  <c r="C52" i="435"/>
  <c r="D52" i="435"/>
  <c r="E52" i="435"/>
  <c r="F52" i="435"/>
  <c r="G52" i="435"/>
  <c r="H52" i="435"/>
  <c r="I52" i="435"/>
  <c r="J52" i="435"/>
  <c r="K52" i="435"/>
  <c r="L52" i="435"/>
  <c r="C53" i="435"/>
  <c r="D53" i="435"/>
  <c r="E53" i="435"/>
  <c r="F53" i="435"/>
  <c r="G53" i="435"/>
  <c r="H53" i="435"/>
  <c r="I53" i="435"/>
  <c r="J53" i="435"/>
  <c r="K53" i="435"/>
  <c r="L53" i="435"/>
  <c r="C54" i="435"/>
  <c r="D54" i="435"/>
  <c r="E54" i="435"/>
  <c r="F54" i="435"/>
  <c r="G54" i="435"/>
  <c r="H54" i="435"/>
  <c r="I54" i="435"/>
  <c r="J54" i="435"/>
  <c r="K54" i="435"/>
  <c r="L54" i="435"/>
  <c r="C55" i="435"/>
  <c r="D55" i="435"/>
  <c r="E55" i="435"/>
  <c r="F55" i="435"/>
  <c r="G55" i="435"/>
  <c r="H55" i="435"/>
  <c r="I55" i="435"/>
  <c r="J55" i="435"/>
  <c r="K55" i="435"/>
  <c r="L55" i="435"/>
  <c r="C56" i="435"/>
  <c r="D56" i="435"/>
  <c r="E56" i="435"/>
  <c r="F56" i="435"/>
  <c r="G56" i="435"/>
  <c r="H56" i="435"/>
  <c r="I56" i="435"/>
  <c r="J56" i="435"/>
  <c r="K56" i="435"/>
  <c r="L56" i="435"/>
  <c r="C57" i="435"/>
  <c r="D57" i="435"/>
  <c r="E57" i="435"/>
  <c r="F57" i="435"/>
  <c r="G57" i="435"/>
  <c r="H57" i="435"/>
  <c r="I57" i="435"/>
  <c r="J57" i="435"/>
  <c r="K57" i="435"/>
  <c r="L57" i="435"/>
  <c r="C58" i="435"/>
  <c r="D58" i="435"/>
  <c r="E58" i="435"/>
  <c r="F58" i="435"/>
  <c r="G58" i="435"/>
  <c r="H58" i="435"/>
  <c r="I58" i="435"/>
  <c r="J58" i="435"/>
  <c r="K58" i="435"/>
  <c r="L58" i="435"/>
  <c r="C59" i="435"/>
  <c r="D59" i="435"/>
  <c r="E59" i="435"/>
  <c r="F59" i="435"/>
  <c r="G59" i="435"/>
  <c r="H59" i="435"/>
  <c r="I59" i="435"/>
  <c r="J59" i="435"/>
  <c r="K59" i="435"/>
  <c r="L59" i="435"/>
  <c r="C60" i="435"/>
  <c r="D60" i="435"/>
  <c r="E60" i="435"/>
  <c r="F60" i="435"/>
  <c r="G60" i="435"/>
  <c r="H60" i="435"/>
  <c r="I60" i="435"/>
  <c r="J60" i="435"/>
  <c r="K60" i="435"/>
  <c r="L60" i="435"/>
  <c r="L50" i="435"/>
  <c r="K50" i="435"/>
  <c r="J50" i="435"/>
  <c r="I50" i="435"/>
  <c r="H50" i="435"/>
  <c r="G50" i="435"/>
  <c r="F50" i="435"/>
  <c r="E50" i="435"/>
  <c r="D50" i="435"/>
  <c r="C50" i="435"/>
  <c r="C56" i="442"/>
  <c r="D56" i="442"/>
  <c r="E56" i="442"/>
  <c r="F56" i="442"/>
  <c r="G56" i="442"/>
  <c r="H56" i="442"/>
  <c r="I56" i="442"/>
  <c r="J56" i="442"/>
  <c r="K56" i="442"/>
  <c r="L56" i="442"/>
  <c r="M56" i="442"/>
  <c r="C57" i="442"/>
  <c r="D57" i="442"/>
  <c r="E57" i="442"/>
  <c r="F57" i="442"/>
  <c r="G57" i="442"/>
  <c r="H57" i="442"/>
  <c r="I57" i="442"/>
  <c r="J57" i="442"/>
  <c r="K57" i="442"/>
  <c r="L57" i="442"/>
  <c r="M57" i="442"/>
  <c r="C58" i="442"/>
  <c r="D58" i="442"/>
  <c r="E58" i="442"/>
  <c r="F58" i="442"/>
  <c r="G58" i="442"/>
  <c r="H58" i="442"/>
  <c r="I58" i="442"/>
  <c r="J58" i="442"/>
  <c r="K58" i="442"/>
  <c r="L58" i="442"/>
  <c r="M58" i="442"/>
  <c r="C59" i="442"/>
  <c r="D59" i="442"/>
  <c r="E59" i="442"/>
  <c r="F59" i="442"/>
  <c r="G59" i="442"/>
  <c r="H59" i="442"/>
  <c r="I59" i="442"/>
  <c r="J59" i="442"/>
  <c r="K59" i="442"/>
  <c r="M59" i="442"/>
  <c r="C60" i="442"/>
  <c r="D60" i="442"/>
  <c r="E60" i="442"/>
  <c r="F60" i="442"/>
  <c r="G60" i="442"/>
  <c r="H60" i="442"/>
  <c r="I60" i="442"/>
  <c r="J60" i="442"/>
  <c r="K60" i="442"/>
  <c r="L60" i="442"/>
  <c r="M60" i="442"/>
  <c r="C61" i="442"/>
  <c r="D61" i="442"/>
  <c r="E61" i="442"/>
  <c r="F61" i="442"/>
  <c r="G61" i="442"/>
  <c r="H61" i="442"/>
  <c r="I61" i="442"/>
  <c r="J61" i="442"/>
  <c r="K61" i="442"/>
  <c r="L61" i="442"/>
  <c r="M61" i="442"/>
  <c r="C62" i="442"/>
  <c r="D62" i="442"/>
  <c r="E62" i="442"/>
  <c r="F62" i="442"/>
  <c r="G62" i="442"/>
  <c r="H62" i="442"/>
  <c r="I62" i="442"/>
  <c r="J62" i="442"/>
  <c r="K62" i="442"/>
  <c r="L62" i="442"/>
  <c r="M62" i="442"/>
  <c r="C63" i="442"/>
  <c r="D63" i="442"/>
  <c r="E63" i="442"/>
  <c r="F63" i="442"/>
  <c r="G63" i="442"/>
  <c r="H63" i="442"/>
  <c r="I63" i="442"/>
  <c r="J63" i="442"/>
  <c r="K63" i="442"/>
  <c r="L63" i="442"/>
  <c r="M63" i="442"/>
  <c r="C64" i="442"/>
  <c r="D64" i="442"/>
  <c r="E64" i="442"/>
  <c r="F64" i="442"/>
  <c r="G64" i="442"/>
  <c r="H64" i="442"/>
  <c r="I64" i="442"/>
  <c r="J64" i="442"/>
  <c r="K64" i="442"/>
  <c r="L64" i="442"/>
  <c r="M64" i="442"/>
  <c r="C65" i="442"/>
  <c r="D65" i="442"/>
  <c r="E65" i="442"/>
  <c r="F65" i="442"/>
  <c r="G65" i="442"/>
  <c r="H65" i="442"/>
  <c r="I65" i="442"/>
  <c r="J65" i="442"/>
  <c r="K65" i="442"/>
  <c r="L65" i="442"/>
  <c r="M55" i="442"/>
  <c r="L55" i="442"/>
  <c r="K55" i="442"/>
  <c r="J55" i="442"/>
  <c r="I55" i="442"/>
  <c r="H55" i="442"/>
  <c r="G55" i="442"/>
  <c r="F55" i="442"/>
  <c r="E55" i="442"/>
  <c r="D55" i="442"/>
  <c r="C55" i="442"/>
  <c r="L23" i="435" l="1"/>
  <c r="L23" i="469"/>
  <c r="M20" i="435"/>
  <c r="M20" i="469"/>
  <c r="L28" i="435"/>
  <c r="L28" i="469"/>
  <c r="L40" i="435"/>
  <c r="L40" i="469"/>
  <c r="M34" i="435"/>
  <c r="M34" i="469"/>
  <c r="L35" i="435"/>
  <c r="L35" i="469"/>
  <c r="L43" i="435"/>
  <c r="L43" i="469"/>
  <c r="M27" i="435"/>
  <c r="M27" i="469"/>
  <c r="M24" i="435"/>
  <c r="M24" i="469"/>
  <c r="M29" i="435"/>
  <c r="M29" i="469"/>
  <c r="M35" i="435"/>
  <c r="M35" i="469"/>
  <c r="L17" i="435"/>
  <c r="L17" i="469"/>
  <c r="L19" i="435"/>
  <c r="L19" i="469"/>
  <c r="L38" i="435"/>
  <c r="L38" i="469"/>
  <c r="M39" i="435"/>
  <c r="M39" i="469"/>
  <c r="M32" i="435"/>
  <c r="M32" i="469"/>
  <c r="M18" i="435"/>
  <c r="M18" i="469"/>
  <c r="M22" i="435"/>
  <c r="M22" i="469"/>
  <c r="M17" i="435"/>
  <c r="M21" i="435"/>
  <c r="M25" i="435"/>
  <c r="L21" i="435"/>
  <c r="L25" i="435"/>
  <c r="M38" i="435"/>
  <c r="M40" i="435"/>
  <c r="M33" i="435"/>
  <c r="L24" i="435"/>
  <c r="L20" i="435"/>
  <c r="L27" i="435"/>
  <c r="L33" i="435"/>
  <c r="L39" i="435"/>
  <c r="M23" i="435"/>
  <c r="M19" i="435"/>
  <c r="M28" i="435"/>
  <c r="L34" i="435"/>
  <c r="L32" i="435"/>
  <c r="L22" i="435"/>
  <c r="L18" i="435"/>
  <c r="L29" i="435"/>
  <c r="M65" i="435"/>
  <c r="M64" i="435"/>
  <c r="BZ14" i="1" l="1"/>
  <c r="T188" i="1" s="1"/>
  <c r="CA14" i="1"/>
  <c r="U188" i="1" s="1"/>
  <c r="BY13" i="1"/>
  <c r="S187" i="1" s="1"/>
  <c r="BY14" i="1"/>
  <c r="S188" i="1" s="1"/>
  <c r="BT14" i="1"/>
  <c r="N188" i="1" s="1"/>
  <c r="BU14" i="1"/>
  <c r="O188" i="1" s="1"/>
  <c r="BV14" i="1"/>
  <c r="P188" i="1" s="1"/>
  <c r="BW14" i="1"/>
  <c r="Q188" i="1" s="1"/>
  <c r="BX14" i="1"/>
  <c r="R188" i="1" s="1"/>
  <c r="BS13" i="1"/>
  <c r="M187" i="1" s="1"/>
  <c r="BS14" i="1"/>
  <c r="M188" i="1" s="1"/>
  <c r="BK14" i="1"/>
  <c r="BM14" i="1" s="1"/>
  <c r="BL14" i="1"/>
  <c r="BN14" i="1"/>
  <c r="BO14" i="1"/>
  <c r="BP14" i="1"/>
  <c r="J188" i="1" s="1"/>
  <c r="BR14" i="1"/>
  <c r="L188" i="1" s="1"/>
  <c r="BQ14" i="1" l="1"/>
  <c r="K188" i="1" s="1"/>
  <c r="I188" i="1"/>
  <c r="D188" i="1"/>
  <c r="CA13" i="1" l="1"/>
  <c r="U187" i="1" s="1"/>
  <c r="BZ13" i="1"/>
  <c r="T187" i="1" s="1"/>
  <c r="BX13" i="1"/>
  <c r="R187" i="1" s="1"/>
  <c r="BW13" i="1"/>
  <c r="Q187" i="1" s="1"/>
  <c r="BV13" i="1"/>
  <c r="P187" i="1" s="1"/>
  <c r="BU13" i="1"/>
  <c r="O187" i="1" s="1"/>
  <c r="BT13" i="1"/>
  <c r="N187" i="1" s="1"/>
  <c r="BR13" i="1"/>
  <c r="L187" i="1" s="1"/>
  <c r="BP13" i="1"/>
  <c r="J187" i="1" s="1"/>
  <c r="BO13" i="1"/>
  <c r="BN13" i="1"/>
  <c r="BL13" i="1"/>
  <c r="BK13" i="1"/>
  <c r="BM13" i="1" s="1"/>
  <c r="BQ13" i="1" l="1"/>
  <c r="K187" i="1" s="1"/>
  <c r="I187" i="1"/>
  <c r="D187" i="1"/>
  <c r="E187" i="1"/>
  <c r="F187" i="1"/>
  <c r="H187" i="1"/>
  <c r="E188" i="1"/>
  <c r="F188" i="1"/>
  <c r="H188" i="1"/>
  <c r="G187" i="1" l="1"/>
  <c r="V187" i="1" l="1"/>
  <c r="V188" i="1"/>
  <c r="W60" i="1"/>
  <c r="V60" i="1"/>
  <c r="AB3" i="1" l="1"/>
  <c r="F179" i="1"/>
  <c r="L65" i="435" l="1"/>
  <c r="L64" i="435"/>
  <c r="L63" i="435"/>
  <c r="H64" i="435"/>
  <c r="V94" i="1" l="1"/>
  <c r="V95" i="1"/>
  <c r="V96" i="1"/>
  <c r="V97" i="1"/>
  <c r="V98" i="1"/>
  <c r="V89" i="1" l="1"/>
  <c r="V90" i="1"/>
  <c r="V91" i="1"/>
  <c r="V92" i="1"/>
  <c r="V93" i="1"/>
  <c r="V68" i="1" l="1"/>
  <c r="V69" i="1"/>
  <c r="I23" i="442" l="1"/>
  <c r="V120" i="1" l="1"/>
  <c r="V121" i="1"/>
  <c r="V122" i="1"/>
  <c r="V123" i="1"/>
  <c r="V124" i="1"/>
  <c r="V125" i="1"/>
  <c r="V126" i="1"/>
  <c r="V127" i="1"/>
  <c r="V128" i="1"/>
  <c r="V129" i="1"/>
  <c r="V87" i="1"/>
  <c r="V88" i="1"/>
  <c r="V85" i="1" l="1"/>
  <c r="V86" i="1"/>
  <c r="V84" i="1" l="1"/>
  <c r="L10" i="435" l="1"/>
  <c r="F14" i="435"/>
  <c r="H17" i="435"/>
  <c r="I17" i="435" s="1"/>
  <c r="J17" i="435"/>
  <c r="K17" i="435" s="1"/>
  <c r="H18" i="435"/>
  <c r="I18" i="435" s="1"/>
  <c r="J18" i="435"/>
  <c r="K18" i="435" s="1"/>
  <c r="H19" i="435"/>
  <c r="I19" i="435" s="1"/>
  <c r="J19" i="435"/>
  <c r="K19" i="435" s="1"/>
  <c r="H20" i="435"/>
  <c r="I20" i="435" s="1"/>
  <c r="J20" i="435"/>
  <c r="K20" i="435" s="1"/>
  <c r="H21" i="435"/>
  <c r="I21" i="435" s="1"/>
  <c r="J21" i="435"/>
  <c r="K21" i="435" s="1"/>
  <c r="H22" i="435"/>
  <c r="I22" i="435" s="1"/>
  <c r="J22" i="435"/>
  <c r="K22" i="435" s="1"/>
  <c r="H23" i="435"/>
  <c r="I23" i="435" s="1"/>
  <c r="J23" i="435"/>
  <c r="K23" i="435" s="1"/>
  <c r="H24" i="435"/>
  <c r="I24" i="435" s="1"/>
  <c r="J24" i="435"/>
  <c r="K24" i="435" s="1"/>
  <c r="E25" i="435"/>
  <c r="H27" i="435"/>
  <c r="I27" i="435" s="1"/>
  <c r="J27" i="435"/>
  <c r="K27" i="435" s="1"/>
  <c r="H28" i="435"/>
  <c r="I28" i="435" s="1"/>
  <c r="J28" i="435"/>
  <c r="K28" i="435" s="1"/>
  <c r="H29" i="435"/>
  <c r="I29" i="435" s="1"/>
  <c r="J29" i="435"/>
  <c r="K29" i="435" s="1"/>
  <c r="E30" i="435"/>
  <c r="H32" i="435"/>
  <c r="I32" i="435" s="1"/>
  <c r="J32" i="435"/>
  <c r="K32" i="435" s="1"/>
  <c r="H33" i="435"/>
  <c r="I33" i="435" s="1"/>
  <c r="J33" i="435"/>
  <c r="K33" i="435" s="1"/>
  <c r="H34" i="435"/>
  <c r="I34" i="435" s="1"/>
  <c r="J34" i="435"/>
  <c r="K34" i="435" s="1"/>
  <c r="H35" i="435"/>
  <c r="I35" i="435" s="1"/>
  <c r="J35" i="435"/>
  <c r="K35" i="435" s="1"/>
  <c r="E36" i="435"/>
  <c r="H38" i="435"/>
  <c r="I38" i="435" s="1"/>
  <c r="J38" i="435"/>
  <c r="K38" i="435" s="1"/>
  <c r="H39" i="435"/>
  <c r="I39" i="435" s="1"/>
  <c r="J39" i="435"/>
  <c r="K39" i="435" s="1"/>
  <c r="H40" i="435"/>
  <c r="I40" i="435" s="1"/>
  <c r="J40" i="435"/>
  <c r="K40" i="435" s="1"/>
  <c r="E41" i="435"/>
  <c r="B44" i="435"/>
  <c r="C61" i="435"/>
  <c r="D61" i="435"/>
  <c r="E61" i="435"/>
  <c r="F61" i="435"/>
  <c r="G61" i="435"/>
  <c r="H61" i="435"/>
  <c r="I61" i="435"/>
  <c r="J61" i="435"/>
  <c r="K61" i="435"/>
  <c r="L61" i="435"/>
  <c r="H63" i="435"/>
  <c r="I63" i="435" s="1"/>
  <c r="K63" i="435"/>
  <c r="I64" i="435"/>
  <c r="K64" i="435"/>
  <c r="H65" i="435"/>
  <c r="I65" i="435" s="1"/>
  <c r="K65" i="435"/>
  <c r="E43" i="435" l="1"/>
  <c r="J25" i="435"/>
  <c r="K25" i="435" s="1"/>
  <c r="H36" i="435"/>
  <c r="I36" i="435" s="1"/>
  <c r="H25" i="435"/>
  <c r="I25" i="435" s="1"/>
  <c r="J41" i="435"/>
  <c r="K41" i="435" s="1"/>
  <c r="J36" i="435"/>
  <c r="K36" i="435" s="1"/>
  <c r="J30" i="435"/>
  <c r="K30" i="435" s="1"/>
  <c r="H41" i="435"/>
  <c r="I41" i="435" s="1"/>
  <c r="H30" i="435"/>
  <c r="J43" i="435" l="1"/>
  <c r="K43" i="435" s="1"/>
  <c r="I30" i="435"/>
  <c r="H43" i="435"/>
  <c r="I43" i="435" s="1"/>
  <c r="V83" i="1" l="1"/>
  <c r="V70" i="1" l="1"/>
  <c r="V71" i="1"/>
  <c r="V72" i="1"/>
  <c r="V73" i="1"/>
  <c r="V74" i="1"/>
  <c r="V75" i="1"/>
  <c r="V76" i="1"/>
  <c r="V77" i="1"/>
  <c r="V78" i="1"/>
  <c r="V79" i="1"/>
  <c r="V80" i="1"/>
  <c r="V81" i="1"/>
  <c r="V82" i="1"/>
  <c r="F28" i="442" l="1"/>
  <c r="CA40" i="1" l="1"/>
  <c r="BZ40" i="1"/>
  <c r="BY40" i="1"/>
  <c r="BX40" i="1"/>
  <c r="BV40" i="1"/>
  <c r="BU40" i="1"/>
  <c r="BS40" i="1"/>
  <c r="BR40" i="1"/>
  <c r="BX39" i="1" l="1"/>
  <c r="R213" i="1" s="1"/>
  <c r="W99" i="1" l="1"/>
  <c r="W112" i="1" s="1"/>
  <c r="W115" i="1" l="1"/>
  <c r="CA39" i="1"/>
  <c r="U213" i="1" s="1"/>
  <c r="T213" i="1"/>
  <c r="BY39" i="1"/>
  <c r="S213" i="1" s="1"/>
  <c r="BW39" i="1"/>
  <c r="Q213" i="1" s="1"/>
  <c r="BV39" i="1"/>
  <c r="P213" i="1" s="1"/>
  <c r="BU39" i="1"/>
  <c r="O213" i="1" s="1"/>
  <c r="BT39" i="1"/>
  <c r="N213" i="1" s="1"/>
  <c r="BR39" i="1"/>
  <c r="L213" i="1" s="1"/>
  <c r="BP39" i="1"/>
  <c r="J213" i="1" s="1"/>
  <c r="BO39" i="1"/>
  <c r="I213" i="1" s="1"/>
  <c r="BN39" i="1"/>
  <c r="H213" i="1" s="1"/>
  <c r="BL39" i="1"/>
  <c r="E213" i="1" s="1"/>
  <c r="BK39" i="1"/>
  <c r="D213" i="1" s="1"/>
  <c r="K43" i="34" l="1"/>
  <c r="I51" i="442" s="1"/>
  <c r="J45" i="435" s="1"/>
  <c r="J45" i="469" s="1"/>
  <c r="BQ39" i="1"/>
  <c r="K213" i="1" s="1"/>
  <c r="BM39" i="1"/>
  <c r="F213" i="1" s="1"/>
  <c r="G213" i="1" l="1"/>
  <c r="BW41" i="1" l="1"/>
  <c r="BT41" i="1"/>
  <c r="BP41" i="1"/>
  <c r="BO41" i="1"/>
  <c r="BQ41" i="1" s="1"/>
  <c r="BL41" i="1"/>
  <c r="BK41" i="1"/>
  <c r="BM41" i="1" s="1"/>
  <c r="BS39" i="1" l="1"/>
  <c r="M213" i="1" s="1"/>
  <c r="M175" i="1" l="1"/>
  <c r="V136" i="1"/>
  <c r="V213" i="1" l="1"/>
  <c r="W52" i="1" l="1"/>
  <c r="F29" i="442" l="1"/>
  <c r="V52" i="1" l="1"/>
  <c r="O54" i="34" s="1"/>
  <c r="F35" i="442" l="1"/>
  <c r="L41" i="34" l="1"/>
  <c r="M66" i="442" l="1"/>
  <c r="L66" i="442"/>
  <c r="K66" i="442"/>
  <c r="J66" i="442"/>
  <c r="I66" i="442"/>
  <c r="H66" i="442"/>
  <c r="G66" i="442"/>
  <c r="F66" i="442"/>
  <c r="E66" i="442"/>
  <c r="D66" i="442"/>
  <c r="C66" i="442"/>
  <c r="N61" i="34"/>
  <c r="M61" i="34"/>
  <c r="L61" i="34"/>
  <c r="K61" i="34"/>
  <c r="J61" i="34"/>
  <c r="I61" i="34"/>
  <c r="H61" i="34"/>
  <c r="G61" i="34"/>
  <c r="F61" i="34"/>
  <c r="E61" i="34"/>
  <c r="C61" i="34"/>
  <c r="X58" i="1" l="1"/>
  <c r="W58" i="1"/>
  <c r="F45" i="442" l="1"/>
  <c r="F40" i="442"/>
  <c r="F34" i="442"/>
  <c r="J176" i="1"/>
  <c r="V106" i="1"/>
  <c r="T176" i="1"/>
  <c r="BP40" i="1"/>
  <c r="BO40" i="1"/>
  <c r="BQ40" i="1" s="1"/>
  <c r="BN40" i="1"/>
  <c r="BT40" i="1"/>
  <c r="BL40" i="1"/>
  <c r="BK40" i="1"/>
  <c r="BM40" i="1" s="1"/>
  <c r="BW40" i="1"/>
  <c r="V135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30" i="1"/>
  <c r="V131" i="1"/>
  <c r="V132" i="1"/>
  <c r="V133" i="1"/>
  <c r="V134" i="1"/>
  <c r="V107" i="1"/>
  <c r="W48" i="1"/>
  <c r="W49" i="1"/>
  <c r="W50" i="1"/>
  <c r="B50" i="442"/>
  <c r="M12" i="442"/>
  <c r="X48" i="1"/>
  <c r="X49" i="1"/>
  <c r="X50" i="1"/>
  <c r="L23" i="442"/>
  <c r="BL17" i="1"/>
  <c r="E191" i="1" s="1"/>
  <c r="BL18" i="1"/>
  <c r="E192" i="1" s="1"/>
  <c r="BL19" i="1"/>
  <c r="E193" i="1" s="1"/>
  <c r="BL22" i="1"/>
  <c r="E196" i="1" s="1"/>
  <c r="BL23" i="1"/>
  <c r="E197" i="1" s="1"/>
  <c r="BL24" i="1"/>
  <c r="E198" i="1" s="1"/>
  <c r="BL25" i="1"/>
  <c r="E199" i="1" s="1"/>
  <c r="BL26" i="1"/>
  <c r="E200" i="1" s="1"/>
  <c r="BL29" i="1"/>
  <c r="E203" i="1" s="1"/>
  <c r="BL30" i="1"/>
  <c r="E204" i="1" s="1"/>
  <c r="E44" i="1" s="1"/>
  <c r="BL31" i="1"/>
  <c r="E205" i="1" s="1"/>
  <c r="BL32" i="1"/>
  <c r="E206" i="1" s="1"/>
  <c r="BL33" i="1"/>
  <c r="E207" i="1" s="1"/>
  <c r="BL36" i="1"/>
  <c r="E210" i="1" s="1"/>
  <c r="BL37" i="1"/>
  <c r="E211" i="1" s="1"/>
  <c r="BL9" i="1"/>
  <c r="E183" i="1" s="1"/>
  <c r="BL10" i="1"/>
  <c r="E184" i="1" s="1"/>
  <c r="BL11" i="1"/>
  <c r="E185" i="1" s="1"/>
  <c r="BL12" i="1"/>
  <c r="E186" i="1" s="1"/>
  <c r="BL15" i="1"/>
  <c r="E189" i="1" s="1"/>
  <c r="BL16" i="1"/>
  <c r="E190" i="1" s="1"/>
  <c r="BL20" i="1"/>
  <c r="E194" i="1" s="1"/>
  <c r="BL21" i="1"/>
  <c r="E195" i="1" s="1"/>
  <c r="BL27" i="1"/>
  <c r="E201" i="1" s="1"/>
  <c r="BL28" i="1"/>
  <c r="E202" i="1" s="1"/>
  <c r="BL34" i="1"/>
  <c r="E208" i="1" s="1"/>
  <c r="BL35" i="1"/>
  <c r="E209" i="1" s="1"/>
  <c r="BL38" i="1"/>
  <c r="E212" i="1" s="1"/>
  <c r="BK17" i="1"/>
  <c r="D191" i="1" s="1"/>
  <c r="BK18" i="1"/>
  <c r="D192" i="1" s="1"/>
  <c r="BK19" i="1"/>
  <c r="D193" i="1" s="1"/>
  <c r="BK22" i="1"/>
  <c r="D196" i="1" s="1"/>
  <c r="BK23" i="1"/>
  <c r="D197" i="1" s="1"/>
  <c r="BK24" i="1"/>
  <c r="D198" i="1" s="1"/>
  <c r="BK25" i="1"/>
  <c r="D199" i="1" s="1"/>
  <c r="BK26" i="1"/>
  <c r="D200" i="1" s="1"/>
  <c r="BK29" i="1"/>
  <c r="D203" i="1" s="1"/>
  <c r="BK30" i="1"/>
  <c r="D204" i="1" s="1"/>
  <c r="D44" i="1" s="1"/>
  <c r="BK31" i="1"/>
  <c r="D205" i="1" s="1"/>
  <c r="BK32" i="1"/>
  <c r="D206" i="1" s="1"/>
  <c r="BK33" i="1"/>
  <c r="D207" i="1" s="1"/>
  <c r="BK36" i="1"/>
  <c r="D210" i="1" s="1"/>
  <c r="BK37" i="1"/>
  <c r="D211" i="1" s="1"/>
  <c r="BK9" i="1"/>
  <c r="D183" i="1" s="1"/>
  <c r="BK10" i="1"/>
  <c r="D184" i="1" s="1"/>
  <c r="BK11" i="1"/>
  <c r="D185" i="1" s="1"/>
  <c r="BK12" i="1"/>
  <c r="D186" i="1" s="1"/>
  <c r="BK15" i="1"/>
  <c r="D189" i="1" s="1"/>
  <c r="BK16" i="1"/>
  <c r="D190" i="1" s="1"/>
  <c r="BK20" i="1"/>
  <c r="BK21" i="1"/>
  <c r="BK27" i="1"/>
  <c r="BK28" i="1"/>
  <c r="BK34" i="1"/>
  <c r="BK35" i="1"/>
  <c r="BK38" i="1"/>
  <c r="D212" i="1" s="1"/>
  <c r="BN16" i="1"/>
  <c r="H190" i="1" s="1"/>
  <c r="BN17" i="1"/>
  <c r="H191" i="1" s="1"/>
  <c r="BN18" i="1"/>
  <c r="H192" i="1" s="1"/>
  <c r="BN19" i="1"/>
  <c r="H193" i="1" s="1"/>
  <c r="BN22" i="1"/>
  <c r="H196" i="1" s="1"/>
  <c r="BN23" i="1"/>
  <c r="H197" i="1" s="1"/>
  <c r="BN24" i="1"/>
  <c r="H198" i="1" s="1"/>
  <c r="BN25" i="1"/>
  <c r="H199" i="1" s="1"/>
  <c r="BN26" i="1"/>
  <c r="H200" i="1" s="1"/>
  <c r="BN29" i="1"/>
  <c r="H203" i="1" s="1"/>
  <c r="BN30" i="1"/>
  <c r="H204" i="1" s="1"/>
  <c r="H44" i="1" s="1"/>
  <c r="BN31" i="1"/>
  <c r="H205" i="1" s="1"/>
  <c r="BN32" i="1"/>
  <c r="H206" i="1" s="1"/>
  <c r="BN33" i="1"/>
  <c r="H207" i="1" s="1"/>
  <c r="BN36" i="1"/>
  <c r="H210" i="1" s="1"/>
  <c r="BN37" i="1"/>
  <c r="H211" i="1" s="1"/>
  <c r="BO9" i="1"/>
  <c r="I183" i="1" s="1"/>
  <c r="BN10" i="1"/>
  <c r="H184" i="1" s="1"/>
  <c r="BN11" i="1"/>
  <c r="H185" i="1" s="1"/>
  <c r="BN12" i="1"/>
  <c r="H186" i="1" s="1"/>
  <c r="BN15" i="1"/>
  <c r="H189" i="1" s="1"/>
  <c r="BN20" i="1"/>
  <c r="H194" i="1" s="1"/>
  <c r="BN21" i="1"/>
  <c r="H195" i="1" s="1"/>
  <c r="BN27" i="1"/>
  <c r="H201" i="1" s="1"/>
  <c r="BN28" i="1"/>
  <c r="H202" i="1" s="1"/>
  <c r="BN34" i="1"/>
  <c r="H208" i="1" s="1"/>
  <c r="BN35" i="1"/>
  <c r="H209" i="1" s="1"/>
  <c r="BN38" i="1"/>
  <c r="H212" i="1" s="1"/>
  <c r="BO16" i="1"/>
  <c r="I190" i="1" s="1"/>
  <c r="BO17" i="1"/>
  <c r="I191" i="1" s="1"/>
  <c r="BO18" i="1"/>
  <c r="I192" i="1" s="1"/>
  <c r="BO19" i="1"/>
  <c r="I193" i="1" s="1"/>
  <c r="BO22" i="1"/>
  <c r="I196" i="1" s="1"/>
  <c r="BO23" i="1"/>
  <c r="I197" i="1" s="1"/>
  <c r="BO24" i="1"/>
  <c r="I198" i="1" s="1"/>
  <c r="BO25" i="1"/>
  <c r="I199" i="1" s="1"/>
  <c r="BO26" i="1"/>
  <c r="I200" i="1" s="1"/>
  <c r="BO29" i="1"/>
  <c r="I203" i="1" s="1"/>
  <c r="BO30" i="1"/>
  <c r="I204" i="1" s="1"/>
  <c r="I44" i="1" s="1"/>
  <c r="BO31" i="1"/>
  <c r="I205" i="1" s="1"/>
  <c r="BO32" i="1"/>
  <c r="I206" i="1" s="1"/>
  <c r="BO33" i="1"/>
  <c r="I207" i="1" s="1"/>
  <c r="BO36" i="1"/>
  <c r="I210" i="1" s="1"/>
  <c r="BO37" i="1"/>
  <c r="I211" i="1" s="1"/>
  <c r="BP9" i="1"/>
  <c r="J183" i="1" s="1"/>
  <c r="BO10" i="1"/>
  <c r="I184" i="1" s="1"/>
  <c r="BO11" i="1"/>
  <c r="I185" i="1" s="1"/>
  <c r="BO12" i="1"/>
  <c r="I186" i="1" s="1"/>
  <c r="BO15" i="1"/>
  <c r="I189" i="1" s="1"/>
  <c r="BO20" i="1"/>
  <c r="I194" i="1" s="1"/>
  <c r="BO21" i="1"/>
  <c r="I195" i="1" s="1"/>
  <c r="BO27" i="1"/>
  <c r="I201" i="1" s="1"/>
  <c r="BO28" i="1"/>
  <c r="I202" i="1" s="1"/>
  <c r="BO34" i="1"/>
  <c r="I208" i="1" s="1"/>
  <c r="BO35" i="1"/>
  <c r="I209" i="1" s="1"/>
  <c r="BO38" i="1"/>
  <c r="I212" i="1" s="1"/>
  <c r="BP16" i="1"/>
  <c r="J190" i="1" s="1"/>
  <c r="BP17" i="1"/>
  <c r="J191" i="1" s="1"/>
  <c r="BP18" i="1"/>
  <c r="J192" i="1" s="1"/>
  <c r="BP19" i="1"/>
  <c r="J193" i="1" s="1"/>
  <c r="BP22" i="1"/>
  <c r="J196" i="1" s="1"/>
  <c r="BP23" i="1"/>
  <c r="J197" i="1" s="1"/>
  <c r="BP24" i="1"/>
  <c r="J198" i="1" s="1"/>
  <c r="BP25" i="1"/>
  <c r="J199" i="1" s="1"/>
  <c r="BP26" i="1"/>
  <c r="J200" i="1" s="1"/>
  <c r="BP29" i="1"/>
  <c r="J203" i="1" s="1"/>
  <c r="BP30" i="1"/>
  <c r="J204" i="1" s="1"/>
  <c r="J44" i="1" s="1"/>
  <c r="BP31" i="1"/>
  <c r="J205" i="1" s="1"/>
  <c r="BP32" i="1"/>
  <c r="J206" i="1" s="1"/>
  <c r="BP33" i="1"/>
  <c r="J207" i="1" s="1"/>
  <c r="BP36" i="1"/>
  <c r="J210" i="1" s="1"/>
  <c r="BP37" i="1"/>
  <c r="J211" i="1" s="1"/>
  <c r="BP10" i="1"/>
  <c r="J184" i="1" s="1"/>
  <c r="BP11" i="1"/>
  <c r="J185" i="1" s="1"/>
  <c r="BP12" i="1"/>
  <c r="J186" i="1" s="1"/>
  <c r="BP15" i="1"/>
  <c r="J189" i="1" s="1"/>
  <c r="BP20" i="1"/>
  <c r="J194" i="1" s="1"/>
  <c r="BP21" i="1"/>
  <c r="J195" i="1" s="1"/>
  <c r="BP27" i="1"/>
  <c r="J201" i="1" s="1"/>
  <c r="BP28" i="1"/>
  <c r="J202" i="1" s="1"/>
  <c r="BP34" i="1"/>
  <c r="J208" i="1" s="1"/>
  <c r="BP35" i="1"/>
  <c r="J209" i="1" s="1"/>
  <c r="BP38" i="1"/>
  <c r="J212" i="1" s="1"/>
  <c r="BR9" i="1"/>
  <c r="L183" i="1" s="1"/>
  <c r="BR17" i="1"/>
  <c r="L191" i="1" s="1"/>
  <c r="BR19" i="1"/>
  <c r="L193" i="1" s="1"/>
  <c r="BR22" i="1"/>
  <c r="L196" i="1" s="1"/>
  <c r="BR23" i="1"/>
  <c r="L197" i="1" s="1"/>
  <c r="BR24" i="1"/>
  <c r="L198" i="1" s="1"/>
  <c r="BR25" i="1"/>
  <c r="L199" i="1" s="1"/>
  <c r="BR26" i="1"/>
  <c r="L200" i="1" s="1"/>
  <c r="BR29" i="1"/>
  <c r="L203" i="1" s="1"/>
  <c r="BR30" i="1"/>
  <c r="L204" i="1" s="1"/>
  <c r="L44" i="1" s="1"/>
  <c r="BR31" i="1"/>
  <c r="L205" i="1" s="1"/>
  <c r="BR32" i="1"/>
  <c r="L206" i="1" s="1"/>
  <c r="BR33" i="1"/>
  <c r="L207" i="1" s="1"/>
  <c r="BR36" i="1"/>
  <c r="L210" i="1" s="1"/>
  <c r="BR37" i="1"/>
  <c r="L211" i="1" s="1"/>
  <c r="BS9" i="1"/>
  <c r="M183" i="1" s="1"/>
  <c r="BR10" i="1"/>
  <c r="L184" i="1" s="1"/>
  <c r="BR11" i="1"/>
  <c r="L185" i="1" s="1"/>
  <c r="BR12" i="1"/>
  <c r="L186" i="1" s="1"/>
  <c r="BR15" i="1"/>
  <c r="L189" i="1" s="1"/>
  <c r="BR16" i="1"/>
  <c r="L190" i="1" s="1"/>
  <c r="BR20" i="1"/>
  <c r="L194" i="1" s="1"/>
  <c r="BR21" i="1"/>
  <c r="L195" i="1" s="1"/>
  <c r="BR27" i="1"/>
  <c r="L201" i="1" s="1"/>
  <c r="BR28" i="1"/>
  <c r="L202" i="1" s="1"/>
  <c r="BR34" i="1"/>
  <c r="L208" i="1" s="1"/>
  <c r="BR35" i="1"/>
  <c r="L209" i="1" s="1"/>
  <c r="BR38" i="1"/>
  <c r="L212" i="1" s="1"/>
  <c r="BS17" i="1"/>
  <c r="M191" i="1" s="1"/>
  <c r="BS18" i="1"/>
  <c r="M192" i="1" s="1"/>
  <c r="BS19" i="1"/>
  <c r="M193" i="1" s="1"/>
  <c r="BS22" i="1"/>
  <c r="M196" i="1" s="1"/>
  <c r="BS23" i="1"/>
  <c r="M197" i="1" s="1"/>
  <c r="BS24" i="1"/>
  <c r="M198" i="1" s="1"/>
  <c r="BS25" i="1"/>
  <c r="M199" i="1" s="1"/>
  <c r="BS26" i="1"/>
  <c r="M200" i="1" s="1"/>
  <c r="BS29" i="1"/>
  <c r="M203" i="1" s="1"/>
  <c r="BS30" i="1"/>
  <c r="M204" i="1" s="1"/>
  <c r="BS31" i="1"/>
  <c r="M205" i="1" s="1"/>
  <c r="BS32" i="1"/>
  <c r="M206" i="1" s="1"/>
  <c r="BS33" i="1"/>
  <c r="M207" i="1" s="1"/>
  <c r="BS36" i="1"/>
  <c r="M210" i="1" s="1"/>
  <c r="F24" i="469" s="1"/>
  <c r="BS37" i="1"/>
  <c r="M211" i="1" s="1"/>
  <c r="BT9" i="1"/>
  <c r="N183" i="1" s="1"/>
  <c r="BS10" i="1"/>
  <c r="M184" i="1" s="1"/>
  <c r="BS11" i="1"/>
  <c r="M185" i="1" s="1"/>
  <c r="BS12" i="1"/>
  <c r="M186" i="1" s="1"/>
  <c r="BS15" i="1"/>
  <c r="M189" i="1" s="1"/>
  <c r="BS16" i="1"/>
  <c r="M190" i="1" s="1"/>
  <c r="BS20" i="1"/>
  <c r="M194" i="1" s="1"/>
  <c r="BS21" i="1"/>
  <c r="M195" i="1" s="1"/>
  <c r="BS27" i="1"/>
  <c r="M201" i="1" s="1"/>
  <c r="BS28" i="1"/>
  <c r="M202" i="1" s="1"/>
  <c r="BS34" i="1"/>
  <c r="M208" i="1" s="1"/>
  <c r="BS35" i="1"/>
  <c r="M209" i="1" s="1"/>
  <c r="BS38" i="1"/>
  <c r="M212" i="1" s="1"/>
  <c r="BT17" i="1"/>
  <c r="N191" i="1" s="1"/>
  <c r="BT18" i="1"/>
  <c r="N192" i="1" s="1"/>
  <c r="BT19" i="1"/>
  <c r="N193" i="1" s="1"/>
  <c r="BT22" i="1"/>
  <c r="N196" i="1" s="1"/>
  <c r="BT23" i="1"/>
  <c r="N197" i="1" s="1"/>
  <c r="BT24" i="1"/>
  <c r="N198" i="1" s="1"/>
  <c r="BT25" i="1"/>
  <c r="N199" i="1" s="1"/>
  <c r="BT26" i="1"/>
  <c r="N200" i="1" s="1"/>
  <c r="BT29" i="1"/>
  <c r="N203" i="1" s="1"/>
  <c r="BT30" i="1"/>
  <c r="N204" i="1" s="1"/>
  <c r="N44" i="1" s="1"/>
  <c r="BT31" i="1"/>
  <c r="N205" i="1" s="1"/>
  <c r="BT32" i="1"/>
  <c r="N206" i="1" s="1"/>
  <c r="BT33" i="1"/>
  <c r="N207" i="1" s="1"/>
  <c r="BT36" i="1"/>
  <c r="N210" i="1" s="1"/>
  <c r="BT37" i="1"/>
  <c r="N211" i="1" s="1"/>
  <c r="BU9" i="1"/>
  <c r="O183" i="1" s="1"/>
  <c r="BT10" i="1"/>
  <c r="N184" i="1" s="1"/>
  <c r="BT11" i="1"/>
  <c r="N185" i="1" s="1"/>
  <c r="BT12" i="1"/>
  <c r="N186" i="1" s="1"/>
  <c r="BT15" i="1"/>
  <c r="N189" i="1" s="1"/>
  <c r="BT16" i="1"/>
  <c r="N190" i="1" s="1"/>
  <c r="BT20" i="1"/>
  <c r="N194" i="1" s="1"/>
  <c r="BT21" i="1"/>
  <c r="N195" i="1" s="1"/>
  <c r="BT27" i="1"/>
  <c r="N201" i="1" s="1"/>
  <c r="BT28" i="1"/>
  <c r="N202" i="1" s="1"/>
  <c r="BT34" i="1"/>
  <c r="N208" i="1" s="1"/>
  <c r="BT35" i="1"/>
  <c r="N209" i="1" s="1"/>
  <c r="BT38" i="1"/>
  <c r="N212" i="1" s="1"/>
  <c r="BU17" i="1"/>
  <c r="O191" i="1" s="1"/>
  <c r="BU18" i="1"/>
  <c r="O192" i="1" s="1"/>
  <c r="BU19" i="1"/>
  <c r="O193" i="1" s="1"/>
  <c r="BU22" i="1"/>
  <c r="O196" i="1" s="1"/>
  <c r="BU23" i="1"/>
  <c r="O197" i="1" s="1"/>
  <c r="BU24" i="1"/>
  <c r="O198" i="1" s="1"/>
  <c r="BU25" i="1"/>
  <c r="O199" i="1" s="1"/>
  <c r="BU26" i="1"/>
  <c r="O200" i="1" s="1"/>
  <c r="BU29" i="1"/>
  <c r="O203" i="1" s="1"/>
  <c r="BU30" i="1"/>
  <c r="O204" i="1" s="1"/>
  <c r="O44" i="1" s="1"/>
  <c r="BU31" i="1"/>
  <c r="O205" i="1" s="1"/>
  <c r="BU32" i="1"/>
  <c r="O206" i="1" s="1"/>
  <c r="BU33" i="1"/>
  <c r="O207" i="1" s="1"/>
  <c r="BU36" i="1"/>
  <c r="O210" i="1" s="1"/>
  <c r="BU37" i="1"/>
  <c r="O211" i="1" s="1"/>
  <c r="BV9" i="1"/>
  <c r="P183" i="1" s="1"/>
  <c r="BU10" i="1"/>
  <c r="O184" i="1" s="1"/>
  <c r="BU11" i="1"/>
  <c r="O185" i="1" s="1"/>
  <c r="BU12" i="1"/>
  <c r="O186" i="1" s="1"/>
  <c r="BU15" i="1"/>
  <c r="O189" i="1" s="1"/>
  <c r="BU16" i="1"/>
  <c r="O190" i="1" s="1"/>
  <c r="BU20" i="1"/>
  <c r="O194" i="1" s="1"/>
  <c r="BU21" i="1"/>
  <c r="O195" i="1" s="1"/>
  <c r="BU27" i="1"/>
  <c r="O201" i="1" s="1"/>
  <c r="BU28" i="1"/>
  <c r="O202" i="1" s="1"/>
  <c r="BU34" i="1"/>
  <c r="O208" i="1" s="1"/>
  <c r="BU35" i="1"/>
  <c r="O209" i="1" s="1"/>
  <c r="BU38" i="1"/>
  <c r="O212" i="1" s="1"/>
  <c r="BV17" i="1"/>
  <c r="P191" i="1" s="1"/>
  <c r="BV18" i="1"/>
  <c r="P192" i="1" s="1"/>
  <c r="BV19" i="1"/>
  <c r="P193" i="1" s="1"/>
  <c r="BV22" i="1"/>
  <c r="P196" i="1" s="1"/>
  <c r="BV23" i="1"/>
  <c r="P197" i="1" s="1"/>
  <c r="BV24" i="1"/>
  <c r="P198" i="1" s="1"/>
  <c r="BV25" i="1"/>
  <c r="P199" i="1" s="1"/>
  <c r="BV26" i="1"/>
  <c r="P200" i="1" s="1"/>
  <c r="BV29" i="1"/>
  <c r="P203" i="1" s="1"/>
  <c r="BV30" i="1"/>
  <c r="P204" i="1" s="1"/>
  <c r="P44" i="1" s="1"/>
  <c r="BV31" i="1"/>
  <c r="P205" i="1" s="1"/>
  <c r="BV32" i="1"/>
  <c r="P206" i="1" s="1"/>
  <c r="BV33" i="1"/>
  <c r="P207" i="1" s="1"/>
  <c r="BV36" i="1"/>
  <c r="P210" i="1" s="1"/>
  <c r="BV37" i="1"/>
  <c r="P211" i="1" s="1"/>
  <c r="BW9" i="1"/>
  <c r="Q183" i="1" s="1"/>
  <c r="BV10" i="1"/>
  <c r="P184" i="1" s="1"/>
  <c r="BV11" i="1"/>
  <c r="P185" i="1" s="1"/>
  <c r="BV12" i="1"/>
  <c r="P186" i="1" s="1"/>
  <c r="BV15" i="1"/>
  <c r="P189" i="1" s="1"/>
  <c r="BV16" i="1"/>
  <c r="P190" i="1" s="1"/>
  <c r="BV20" i="1"/>
  <c r="P194" i="1" s="1"/>
  <c r="BV21" i="1"/>
  <c r="P195" i="1" s="1"/>
  <c r="BV27" i="1"/>
  <c r="P201" i="1" s="1"/>
  <c r="BV28" i="1"/>
  <c r="P202" i="1" s="1"/>
  <c r="BV34" i="1"/>
  <c r="P208" i="1" s="1"/>
  <c r="BV35" i="1"/>
  <c r="P209" i="1" s="1"/>
  <c r="BV38" i="1"/>
  <c r="P212" i="1" s="1"/>
  <c r="BW17" i="1"/>
  <c r="Q191" i="1" s="1"/>
  <c r="BW18" i="1"/>
  <c r="Q192" i="1" s="1"/>
  <c r="BW19" i="1"/>
  <c r="Q193" i="1" s="1"/>
  <c r="BW22" i="1"/>
  <c r="Q196" i="1" s="1"/>
  <c r="BW23" i="1"/>
  <c r="Q197" i="1" s="1"/>
  <c r="BW24" i="1"/>
  <c r="Q198" i="1" s="1"/>
  <c r="BW25" i="1"/>
  <c r="Q199" i="1" s="1"/>
  <c r="BW26" i="1"/>
  <c r="Q200" i="1" s="1"/>
  <c r="BW29" i="1"/>
  <c r="Q203" i="1" s="1"/>
  <c r="BW30" i="1"/>
  <c r="Q204" i="1" s="1"/>
  <c r="Q44" i="1" s="1"/>
  <c r="BW31" i="1"/>
  <c r="Q205" i="1" s="1"/>
  <c r="BW32" i="1"/>
  <c r="Q206" i="1" s="1"/>
  <c r="BW33" i="1"/>
  <c r="Q207" i="1" s="1"/>
  <c r="BW36" i="1"/>
  <c r="Q210" i="1" s="1"/>
  <c r="BW37" i="1"/>
  <c r="Q211" i="1" s="1"/>
  <c r="BX9" i="1"/>
  <c r="R183" i="1" s="1"/>
  <c r="BW10" i="1"/>
  <c r="Q184" i="1" s="1"/>
  <c r="BW11" i="1"/>
  <c r="Q185" i="1" s="1"/>
  <c r="BW12" i="1"/>
  <c r="Q186" i="1" s="1"/>
  <c r="BW15" i="1"/>
  <c r="Q189" i="1" s="1"/>
  <c r="BW16" i="1"/>
  <c r="Q190" i="1" s="1"/>
  <c r="BW20" i="1"/>
  <c r="Q194" i="1" s="1"/>
  <c r="BW21" i="1"/>
  <c r="Q195" i="1" s="1"/>
  <c r="BW27" i="1"/>
  <c r="Q201" i="1" s="1"/>
  <c r="BW28" i="1"/>
  <c r="Q202" i="1" s="1"/>
  <c r="BW34" i="1"/>
  <c r="Q208" i="1" s="1"/>
  <c r="BW35" i="1"/>
  <c r="Q209" i="1" s="1"/>
  <c r="BW38" i="1"/>
  <c r="Q212" i="1" s="1"/>
  <c r="BX17" i="1"/>
  <c r="R191" i="1" s="1"/>
  <c r="BX18" i="1"/>
  <c r="R192" i="1" s="1"/>
  <c r="BX19" i="1"/>
  <c r="R193" i="1" s="1"/>
  <c r="BX22" i="1"/>
  <c r="R196" i="1" s="1"/>
  <c r="BX23" i="1"/>
  <c r="R197" i="1" s="1"/>
  <c r="BX24" i="1"/>
  <c r="R198" i="1" s="1"/>
  <c r="BX25" i="1"/>
  <c r="R199" i="1" s="1"/>
  <c r="BX26" i="1"/>
  <c r="R200" i="1" s="1"/>
  <c r="BX29" i="1"/>
  <c r="R203" i="1" s="1"/>
  <c r="BX30" i="1"/>
  <c r="R204" i="1" s="1"/>
  <c r="R44" i="1" s="1"/>
  <c r="BX31" i="1"/>
  <c r="R205" i="1" s="1"/>
  <c r="BX32" i="1"/>
  <c r="R206" i="1" s="1"/>
  <c r="BX33" i="1"/>
  <c r="R207" i="1" s="1"/>
  <c r="BX36" i="1"/>
  <c r="R210" i="1" s="1"/>
  <c r="BX37" i="1"/>
  <c r="R211" i="1" s="1"/>
  <c r="BY9" i="1"/>
  <c r="S183" i="1" s="1"/>
  <c r="BX10" i="1"/>
  <c r="R184" i="1" s="1"/>
  <c r="BX11" i="1"/>
  <c r="R185" i="1" s="1"/>
  <c r="BX12" i="1"/>
  <c r="R186" i="1" s="1"/>
  <c r="BX15" i="1"/>
  <c r="R189" i="1" s="1"/>
  <c r="BX16" i="1"/>
  <c r="R190" i="1" s="1"/>
  <c r="BX20" i="1"/>
  <c r="R194" i="1" s="1"/>
  <c r="BX21" i="1"/>
  <c r="R195" i="1" s="1"/>
  <c r="BX27" i="1"/>
  <c r="R201" i="1" s="1"/>
  <c r="BX28" i="1"/>
  <c r="R202" i="1" s="1"/>
  <c r="BX34" i="1"/>
  <c r="R208" i="1" s="1"/>
  <c r="BX35" i="1"/>
  <c r="R209" i="1" s="1"/>
  <c r="BX38" i="1"/>
  <c r="R212" i="1" s="1"/>
  <c r="BY17" i="1"/>
  <c r="S191" i="1" s="1"/>
  <c r="BY18" i="1"/>
  <c r="S192" i="1" s="1"/>
  <c r="BY19" i="1"/>
  <c r="S193" i="1" s="1"/>
  <c r="BY22" i="1"/>
  <c r="S196" i="1" s="1"/>
  <c r="BY23" i="1"/>
  <c r="S197" i="1" s="1"/>
  <c r="BY24" i="1"/>
  <c r="S198" i="1" s="1"/>
  <c r="BY25" i="1"/>
  <c r="S199" i="1" s="1"/>
  <c r="BY26" i="1"/>
  <c r="S200" i="1" s="1"/>
  <c r="BY29" i="1"/>
  <c r="S203" i="1" s="1"/>
  <c r="BY30" i="1"/>
  <c r="S204" i="1" s="1"/>
  <c r="S44" i="1" s="1"/>
  <c r="BY31" i="1"/>
  <c r="S205" i="1" s="1"/>
  <c r="BY32" i="1"/>
  <c r="S206" i="1" s="1"/>
  <c r="BY33" i="1"/>
  <c r="S207" i="1" s="1"/>
  <c r="BY36" i="1"/>
  <c r="S210" i="1" s="1"/>
  <c r="BY37" i="1"/>
  <c r="S211" i="1" s="1"/>
  <c r="BZ9" i="1"/>
  <c r="T183" i="1" s="1"/>
  <c r="BY10" i="1"/>
  <c r="S184" i="1" s="1"/>
  <c r="BY11" i="1"/>
  <c r="S185" i="1" s="1"/>
  <c r="BY12" i="1"/>
  <c r="S186" i="1" s="1"/>
  <c r="BY15" i="1"/>
  <c r="S189" i="1" s="1"/>
  <c r="BY16" i="1"/>
  <c r="S190" i="1" s="1"/>
  <c r="BY20" i="1"/>
  <c r="S194" i="1" s="1"/>
  <c r="BY21" i="1"/>
  <c r="S195" i="1" s="1"/>
  <c r="BY27" i="1"/>
  <c r="S201" i="1" s="1"/>
  <c r="BY28" i="1"/>
  <c r="S202" i="1" s="1"/>
  <c r="BY34" i="1"/>
  <c r="S208" i="1" s="1"/>
  <c r="BY35" i="1"/>
  <c r="S209" i="1" s="1"/>
  <c r="BY38" i="1"/>
  <c r="S212" i="1" s="1"/>
  <c r="BZ17" i="1"/>
  <c r="T191" i="1" s="1"/>
  <c r="BZ18" i="1"/>
  <c r="T192" i="1" s="1"/>
  <c r="BZ19" i="1"/>
  <c r="T193" i="1" s="1"/>
  <c r="BZ22" i="1"/>
  <c r="T196" i="1" s="1"/>
  <c r="BZ23" i="1"/>
  <c r="T197" i="1" s="1"/>
  <c r="BZ24" i="1"/>
  <c r="T198" i="1" s="1"/>
  <c r="BZ25" i="1"/>
  <c r="T199" i="1" s="1"/>
  <c r="BZ26" i="1"/>
  <c r="T200" i="1" s="1"/>
  <c r="BZ29" i="1"/>
  <c r="T203" i="1" s="1"/>
  <c r="BZ30" i="1"/>
  <c r="T204" i="1" s="1"/>
  <c r="T44" i="1" s="1"/>
  <c r="BZ31" i="1"/>
  <c r="T205" i="1" s="1"/>
  <c r="BZ32" i="1"/>
  <c r="T206" i="1" s="1"/>
  <c r="BZ33" i="1"/>
  <c r="T207" i="1" s="1"/>
  <c r="BZ36" i="1"/>
  <c r="T210" i="1" s="1"/>
  <c r="BZ37" i="1"/>
  <c r="T211" i="1" s="1"/>
  <c r="CA9" i="1"/>
  <c r="U183" i="1" s="1"/>
  <c r="BZ10" i="1"/>
  <c r="T184" i="1" s="1"/>
  <c r="BZ11" i="1"/>
  <c r="T185" i="1" s="1"/>
  <c r="BZ12" i="1"/>
  <c r="T186" i="1" s="1"/>
  <c r="BZ15" i="1"/>
  <c r="T189" i="1" s="1"/>
  <c r="BZ16" i="1"/>
  <c r="T190" i="1" s="1"/>
  <c r="BZ20" i="1"/>
  <c r="T194" i="1" s="1"/>
  <c r="BZ21" i="1"/>
  <c r="T195" i="1" s="1"/>
  <c r="BZ27" i="1"/>
  <c r="T201" i="1" s="1"/>
  <c r="BZ28" i="1"/>
  <c r="T202" i="1" s="1"/>
  <c r="BZ34" i="1"/>
  <c r="T208" i="1" s="1"/>
  <c r="BZ35" i="1"/>
  <c r="T209" i="1" s="1"/>
  <c r="T212" i="1"/>
  <c r="CA17" i="1"/>
  <c r="U191" i="1" s="1"/>
  <c r="CA18" i="1"/>
  <c r="U192" i="1" s="1"/>
  <c r="CA19" i="1"/>
  <c r="U193" i="1" s="1"/>
  <c r="CA22" i="1"/>
  <c r="U196" i="1" s="1"/>
  <c r="CA23" i="1"/>
  <c r="U197" i="1" s="1"/>
  <c r="CA24" i="1"/>
  <c r="U198" i="1" s="1"/>
  <c r="CA25" i="1"/>
  <c r="U199" i="1" s="1"/>
  <c r="CA26" i="1"/>
  <c r="U200" i="1" s="1"/>
  <c r="CA29" i="1"/>
  <c r="U203" i="1" s="1"/>
  <c r="CA30" i="1"/>
  <c r="U204" i="1" s="1"/>
  <c r="CA31" i="1"/>
  <c r="U205" i="1" s="1"/>
  <c r="CA32" i="1"/>
  <c r="U206" i="1" s="1"/>
  <c r="CA33" i="1"/>
  <c r="U207" i="1" s="1"/>
  <c r="CA36" i="1"/>
  <c r="U210" i="1" s="1"/>
  <c r="CA37" i="1"/>
  <c r="U211" i="1" s="1"/>
  <c r="CA10" i="1"/>
  <c r="U184" i="1" s="1"/>
  <c r="CA11" i="1"/>
  <c r="U185" i="1" s="1"/>
  <c r="CA12" i="1"/>
  <c r="U186" i="1" s="1"/>
  <c r="CA15" i="1"/>
  <c r="U189" i="1" s="1"/>
  <c r="CA16" i="1"/>
  <c r="U190" i="1" s="1"/>
  <c r="CA20" i="1"/>
  <c r="U194" i="1" s="1"/>
  <c r="CA21" i="1"/>
  <c r="U195" i="1" s="1"/>
  <c r="CA27" i="1"/>
  <c r="U201" i="1" s="1"/>
  <c r="CA28" i="1"/>
  <c r="U202" i="1" s="1"/>
  <c r="CA34" i="1"/>
  <c r="U208" i="1" s="1"/>
  <c r="CA35" i="1"/>
  <c r="U209" i="1" s="1"/>
  <c r="CA38" i="1"/>
  <c r="U212" i="1" s="1"/>
  <c r="AA99" i="1"/>
  <c r="E65" i="1"/>
  <c r="L70" i="442"/>
  <c r="W57" i="1"/>
  <c r="X57" i="1"/>
  <c r="W55" i="1"/>
  <c r="X55" i="1"/>
  <c r="W56" i="1"/>
  <c r="X56" i="1"/>
  <c r="BN9" i="1"/>
  <c r="H183" i="1" s="1"/>
  <c r="G21" i="442"/>
  <c r="K46" i="442"/>
  <c r="L46" i="442" s="1"/>
  <c r="K45" i="442"/>
  <c r="L45" i="442" s="1"/>
  <c r="K44" i="442"/>
  <c r="L44" i="442" s="1"/>
  <c r="K41" i="442"/>
  <c r="L41" i="442" s="1"/>
  <c r="K40" i="442"/>
  <c r="L40" i="442" s="1"/>
  <c r="K39" i="442"/>
  <c r="L39" i="442" s="1"/>
  <c r="K38" i="442"/>
  <c r="L38" i="442" s="1"/>
  <c r="K35" i="442"/>
  <c r="L35" i="442" s="1"/>
  <c r="K34" i="442"/>
  <c r="L34" i="442" s="1"/>
  <c r="K33" i="442"/>
  <c r="L33" i="442" s="1"/>
  <c r="K30" i="442"/>
  <c r="L30" i="442" s="1"/>
  <c r="L29" i="442"/>
  <c r="L28" i="442"/>
  <c r="L27" i="442"/>
  <c r="L26" i="442"/>
  <c r="L25" i="442"/>
  <c r="L24" i="442"/>
  <c r="X54" i="1"/>
  <c r="J70" i="442"/>
  <c r="L69" i="442"/>
  <c r="J69" i="442"/>
  <c r="L68" i="442"/>
  <c r="J68" i="442"/>
  <c r="D47" i="442"/>
  <c r="I46" i="442"/>
  <c r="J46" i="442" s="1"/>
  <c r="I45" i="442"/>
  <c r="J45" i="442" s="1"/>
  <c r="I44" i="442"/>
  <c r="J44" i="442" s="1"/>
  <c r="D42" i="442"/>
  <c r="I41" i="442"/>
  <c r="J41" i="442" s="1"/>
  <c r="I40" i="442"/>
  <c r="J40" i="442" s="1"/>
  <c r="I39" i="442"/>
  <c r="J39" i="442" s="1"/>
  <c r="I38" i="442"/>
  <c r="J38" i="442" s="1"/>
  <c r="D36" i="442"/>
  <c r="I35" i="442"/>
  <c r="J35" i="442" s="1"/>
  <c r="I34" i="442"/>
  <c r="J34" i="442" s="1"/>
  <c r="I33" i="442"/>
  <c r="J33" i="442" s="1"/>
  <c r="D31" i="442"/>
  <c r="I30" i="442"/>
  <c r="J30" i="442" s="1"/>
  <c r="I29" i="442"/>
  <c r="J29" i="442" s="1"/>
  <c r="I28" i="442"/>
  <c r="J28" i="442" s="1"/>
  <c r="I27" i="442"/>
  <c r="J27" i="442" s="1"/>
  <c r="I26" i="442"/>
  <c r="J26" i="442" s="1"/>
  <c r="I25" i="442"/>
  <c r="J25" i="442" s="1"/>
  <c r="I24" i="442"/>
  <c r="J24" i="442" s="1"/>
  <c r="J23" i="442"/>
  <c r="E40" i="34"/>
  <c r="J39" i="34"/>
  <c r="K39" i="34" s="1"/>
  <c r="J38" i="34"/>
  <c r="K38" i="34" s="1"/>
  <c r="J37" i="34"/>
  <c r="K37" i="34" s="1"/>
  <c r="J36" i="34"/>
  <c r="K36" i="34" s="1"/>
  <c r="J35" i="34"/>
  <c r="K35" i="34" s="1"/>
  <c r="M35" i="34"/>
  <c r="M36" i="34"/>
  <c r="M37" i="34"/>
  <c r="M38" i="34"/>
  <c r="M39" i="34"/>
  <c r="J34" i="34"/>
  <c r="K34" i="34" s="1"/>
  <c r="J33" i="34"/>
  <c r="K33" i="34" s="1"/>
  <c r="J32" i="34"/>
  <c r="K32" i="34" s="1"/>
  <c r="J31" i="34"/>
  <c r="K31" i="34" s="1"/>
  <c r="J30" i="34"/>
  <c r="K30" i="34" s="1"/>
  <c r="J29" i="34"/>
  <c r="J28" i="34"/>
  <c r="J27" i="34"/>
  <c r="K27" i="34" s="1"/>
  <c r="J26" i="34"/>
  <c r="K26" i="34" s="1"/>
  <c r="J25" i="34"/>
  <c r="K25" i="34" s="1"/>
  <c r="J24" i="34"/>
  <c r="K24" i="34" s="1"/>
  <c r="J23" i="34"/>
  <c r="K23" i="34" s="1"/>
  <c r="M33" i="34"/>
  <c r="M31" i="34"/>
  <c r="M30" i="34"/>
  <c r="M22" i="34"/>
  <c r="M23" i="34"/>
  <c r="M24" i="34"/>
  <c r="M32" i="34"/>
  <c r="M34" i="34"/>
  <c r="J22" i="34"/>
  <c r="K22" i="34" s="1"/>
  <c r="H21" i="34"/>
  <c r="U176" i="1"/>
  <c r="S176" i="1"/>
  <c r="R176" i="1"/>
  <c r="Q176" i="1"/>
  <c r="P176" i="1"/>
  <c r="O176" i="1"/>
  <c r="N176" i="1"/>
  <c r="M176" i="1"/>
  <c r="L176" i="1"/>
  <c r="G176" i="1"/>
  <c r="F176" i="1"/>
  <c r="E176" i="1"/>
  <c r="U175" i="1"/>
  <c r="T175" i="1"/>
  <c r="S175" i="1"/>
  <c r="R175" i="1"/>
  <c r="Q175" i="1"/>
  <c r="P175" i="1"/>
  <c r="O175" i="1"/>
  <c r="N175" i="1"/>
  <c r="L175" i="1"/>
  <c r="K175" i="1"/>
  <c r="J175" i="1"/>
  <c r="I175" i="1"/>
  <c r="H175" i="1"/>
  <c r="G175" i="1"/>
  <c r="F175" i="1"/>
  <c r="E175" i="1"/>
  <c r="D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X99" i="1"/>
  <c r="V59" i="1"/>
  <c r="V58" i="1"/>
  <c r="V57" i="1"/>
  <c r="O59" i="34" s="1"/>
  <c r="V56" i="1"/>
  <c r="O58" i="34" s="1"/>
  <c r="V55" i="1"/>
  <c r="O57" i="34" s="1"/>
  <c r="W54" i="1"/>
  <c r="V54" i="1"/>
  <c r="X53" i="1"/>
  <c r="W53" i="1"/>
  <c r="V53" i="1"/>
  <c r="Y52" i="1"/>
  <c r="X52" i="1"/>
  <c r="Y51" i="1"/>
  <c r="X51" i="1"/>
  <c r="W51" i="1"/>
  <c r="V51" i="1"/>
  <c r="O53" i="34" s="1"/>
  <c r="V50" i="1"/>
  <c r="O52" i="34" s="1"/>
  <c r="V49" i="1"/>
  <c r="O51" i="34" s="1"/>
  <c r="V48" i="1"/>
  <c r="O50" i="34" s="1"/>
  <c r="M29" i="34"/>
  <c r="AW43" i="1"/>
  <c r="V43" i="1"/>
  <c r="AW42" i="1"/>
  <c r="M28" i="34"/>
  <c r="CA8" i="1"/>
  <c r="BZ8" i="1"/>
  <c r="BY8" i="1"/>
  <c r="BX8" i="1"/>
  <c r="BW8" i="1"/>
  <c r="BV8" i="1"/>
  <c r="BU8" i="1"/>
  <c r="BT8" i="1"/>
  <c r="BS8" i="1"/>
  <c r="BR8" i="1"/>
  <c r="BP8" i="1"/>
  <c r="BO8" i="1"/>
  <c r="BQ8" i="1" s="1"/>
  <c r="BN8" i="1"/>
  <c r="BL8" i="1"/>
  <c r="BK8" i="1"/>
  <c r="AV3" i="1"/>
  <c r="F39" i="442"/>
  <c r="F23" i="442"/>
  <c r="K176" i="1"/>
  <c r="H176" i="1"/>
  <c r="I176" i="1"/>
  <c r="F27" i="442"/>
  <c r="F41" i="442"/>
  <c r="F26" i="442"/>
  <c r="F24" i="442"/>
  <c r="F30" i="442"/>
  <c r="G30" i="442"/>
  <c r="F25" i="442"/>
  <c r="F33" i="442"/>
  <c r="F46" i="442"/>
  <c r="F44" i="442"/>
  <c r="K29" i="34" l="1"/>
  <c r="J40" i="34"/>
  <c r="K40" i="34" s="1"/>
  <c r="K28" i="34"/>
  <c r="O60" i="34"/>
  <c r="M45" i="1"/>
  <c r="M46" i="1" s="1"/>
  <c r="H30" i="442" s="1"/>
  <c r="F35" i="469"/>
  <c r="F40" i="469"/>
  <c r="F34" i="469"/>
  <c r="F33" i="469"/>
  <c r="F39" i="469"/>
  <c r="F38" i="469"/>
  <c r="F29" i="469"/>
  <c r="F23" i="469"/>
  <c r="F22" i="469"/>
  <c r="F19" i="469"/>
  <c r="F18" i="469"/>
  <c r="F27" i="469"/>
  <c r="F20" i="469"/>
  <c r="U45" i="1"/>
  <c r="U46" i="1" s="1"/>
  <c r="G35" i="469" s="1"/>
  <c r="J45" i="1"/>
  <c r="E45" i="1"/>
  <c r="E46" i="1" s="1"/>
  <c r="G27" i="469" s="1"/>
  <c r="I45" i="1"/>
  <c r="I46" i="1" s="1"/>
  <c r="G19" i="469" s="1"/>
  <c r="H45" i="1"/>
  <c r="H46" i="1" s="1"/>
  <c r="G18" i="469" s="1"/>
  <c r="P45" i="1"/>
  <c r="P46" i="1" s="1"/>
  <c r="G38" i="469" s="1"/>
  <c r="Q45" i="1"/>
  <c r="Q46" i="1" s="1"/>
  <c r="G39" i="469" s="1"/>
  <c r="T45" i="1"/>
  <c r="T46" i="1" s="1"/>
  <c r="S45" i="1"/>
  <c r="S46" i="1" s="1"/>
  <c r="G34" i="469" s="1"/>
  <c r="R45" i="1"/>
  <c r="R46" i="1" s="1"/>
  <c r="G33" i="469" s="1"/>
  <c r="O45" i="1"/>
  <c r="O46" i="1" s="1"/>
  <c r="G29" i="469" s="1"/>
  <c r="N45" i="1"/>
  <c r="N46" i="1" s="1"/>
  <c r="L45" i="1"/>
  <c r="L46" i="1" s="1"/>
  <c r="G22" i="469" s="1"/>
  <c r="M40" i="34"/>
  <c r="BQ9" i="1"/>
  <c r="K183" i="1" s="1"/>
  <c r="E41" i="442"/>
  <c r="G41" i="442" s="1"/>
  <c r="F38" i="34"/>
  <c r="H38" i="34" s="1"/>
  <c r="F35" i="435"/>
  <c r="E30" i="442"/>
  <c r="F36" i="34"/>
  <c r="H36" i="34" s="1"/>
  <c r="F39" i="34"/>
  <c r="H39" i="34" s="1"/>
  <c r="E40" i="442"/>
  <c r="G40" i="442" s="1"/>
  <c r="F30" i="34"/>
  <c r="H30" i="34" s="1"/>
  <c r="E29" i="442"/>
  <c r="G29" i="442" s="1"/>
  <c r="F31" i="34"/>
  <c r="H31" i="34" s="1"/>
  <c r="E39" i="442"/>
  <c r="G39" i="442" s="1"/>
  <c r="F35" i="34"/>
  <c r="H35" i="34" s="1"/>
  <c r="E45" i="442"/>
  <c r="G45" i="442" s="1"/>
  <c r="E44" i="442"/>
  <c r="G44" i="442" s="1"/>
  <c r="F34" i="34"/>
  <c r="H34" i="34" s="1"/>
  <c r="F33" i="34"/>
  <c r="H33" i="34" s="1"/>
  <c r="F32" i="34"/>
  <c r="H32" i="34" s="1"/>
  <c r="E25" i="442"/>
  <c r="G25" i="442" s="1"/>
  <c r="F27" i="34"/>
  <c r="H27" i="34" s="1"/>
  <c r="E46" i="442"/>
  <c r="G46" i="442" s="1"/>
  <c r="F37" i="34"/>
  <c r="H37" i="34" s="1"/>
  <c r="E35" i="442"/>
  <c r="G35" i="442" s="1"/>
  <c r="F34" i="435"/>
  <c r="F33" i="435"/>
  <c r="F39" i="435"/>
  <c r="F38" i="435"/>
  <c r="F29" i="435"/>
  <c r="F24" i="435"/>
  <c r="E24" i="442"/>
  <c r="G24" i="442" s="1"/>
  <c r="F18" i="435"/>
  <c r="F26" i="34"/>
  <c r="H26" i="34" s="1"/>
  <c r="F19" i="435"/>
  <c r="F40" i="435"/>
  <c r="F23" i="435"/>
  <c r="BM35" i="1"/>
  <c r="F209" i="1" s="1"/>
  <c r="D209" i="1"/>
  <c r="BM34" i="1"/>
  <c r="F208" i="1" s="1"/>
  <c r="G208" i="1" s="1"/>
  <c r="D208" i="1"/>
  <c r="BM28" i="1"/>
  <c r="F202" i="1" s="1"/>
  <c r="D202" i="1"/>
  <c r="BM27" i="1"/>
  <c r="F201" i="1" s="1"/>
  <c r="D201" i="1"/>
  <c r="BM21" i="1"/>
  <c r="F195" i="1" s="1"/>
  <c r="D195" i="1"/>
  <c r="BM20" i="1"/>
  <c r="F194" i="1" s="1"/>
  <c r="D194" i="1"/>
  <c r="BM12" i="1"/>
  <c r="F186" i="1" s="1"/>
  <c r="BM11" i="1"/>
  <c r="F185" i="1" s="1"/>
  <c r="G185" i="1" s="1"/>
  <c r="BM24" i="1"/>
  <c r="F198" i="1" s="1"/>
  <c r="BM18" i="1"/>
  <c r="F192" i="1" s="1"/>
  <c r="BM16" i="1"/>
  <c r="F190" i="1" s="1"/>
  <c r="BM23" i="1"/>
  <c r="F197" i="1" s="1"/>
  <c r="BM15" i="1"/>
  <c r="F189" i="1" s="1"/>
  <c r="BM9" i="1"/>
  <c r="F183" i="1" s="1"/>
  <c r="BM26" i="1"/>
  <c r="F200" i="1" s="1"/>
  <c r="BM22" i="1"/>
  <c r="F196" i="1" s="1"/>
  <c r="BM19" i="1"/>
  <c r="F193" i="1" s="1"/>
  <c r="BM8" i="1"/>
  <c r="BM38" i="1"/>
  <c r="F212" i="1" s="1"/>
  <c r="E28" i="442"/>
  <c r="G28" i="442" s="1"/>
  <c r="BM37" i="1"/>
  <c r="F211" i="1" s="1"/>
  <c r="BM36" i="1"/>
  <c r="F210" i="1" s="1"/>
  <c r="BM33" i="1"/>
  <c r="F207" i="1" s="1"/>
  <c r="BM32" i="1"/>
  <c r="F206" i="1" s="1"/>
  <c r="BM31" i="1"/>
  <c r="F205" i="1" s="1"/>
  <c r="BM30" i="1"/>
  <c r="F204" i="1" s="1"/>
  <c r="F44" i="1" s="1"/>
  <c r="E33" i="442"/>
  <c r="G33" i="442" s="1"/>
  <c r="BM29" i="1"/>
  <c r="F203" i="1" s="1"/>
  <c r="F23" i="34"/>
  <c r="H23" i="34" s="1"/>
  <c r="BM25" i="1"/>
  <c r="F199" i="1" s="1"/>
  <c r="F22" i="435"/>
  <c r="F27" i="435"/>
  <c r="BM17" i="1"/>
  <c r="F191" i="1" s="1"/>
  <c r="BM10" i="1"/>
  <c r="F184" i="1" s="1"/>
  <c r="Z57" i="1"/>
  <c r="BQ32" i="1"/>
  <c r="K206" i="1" s="1"/>
  <c r="BQ26" i="1"/>
  <c r="K200" i="1" s="1"/>
  <c r="BQ33" i="1"/>
  <c r="K207" i="1" s="1"/>
  <c r="BQ27" i="1"/>
  <c r="K201" i="1" s="1"/>
  <c r="D49" i="442"/>
  <c r="BQ36" i="1"/>
  <c r="K210" i="1" s="1"/>
  <c r="BQ30" i="1"/>
  <c r="K204" i="1" s="1"/>
  <c r="K44" i="1" s="1"/>
  <c r="BQ24" i="1"/>
  <c r="K198" i="1" s="1"/>
  <c r="BQ34" i="1"/>
  <c r="K208" i="1" s="1"/>
  <c r="BQ25" i="1"/>
  <c r="K199" i="1" s="1"/>
  <c r="BQ29" i="1"/>
  <c r="K203" i="1" s="1"/>
  <c r="BQ31" i="1"/>
  <c r="K205" i="1" s="1"/>
  <c r="BQ23" i="1"/>
  <c r="K197" i="1" s="1"/>
  <c r="BQ18" i="1"/>
  <c r="K192" i="1" s="1"/>
  <c r="V137" i="1"/>
  <c r="BQ11" i="1"/>
  <c r="K185" i="1" s="1"/>
  <c r="BQ28" i="1"/>
  <c r="K202" i="1" s="1"/>
  <c r="BQ37" i="1"/>
  <c r="K211" i="1" s="1"/>
  <c r="BQ35" i="1"/>
  <c r="K209" i="1" s="1"/>
  <c r="BQ22" i="1"/>
  <c r="K196" i="1" s="1"/>
  <c r="BQ17" i="1"/>
  <c r="K191" i="1" s="1"/>
  <c r="BQ16" i="1"/>
  <c r="K190" i="1" s="1"/>
  <c r="BQ15" i="1"/>
  <c r="K189" i="1" s="1"/>
  <c r="BQ10" i="1"/>
  <c r="K184" i="1" s="1"/>
  <c r="BQ20" i="1"/>
  <c r="K194" i="1" s="1"/>
  <c r="BQ21" i="1"/>
  <c r="K195" i="1" s="1"/>
  <c r="BQ12" i="1"/>
  <c r="K186" i="1" s="1"/>
  <c r="D176" i="1"/>
  <c r="BQ38" i="1"/>
  <c r="K212" i="1" s="1"/>
  <c r="V99" i="1"/>
  <c r="BQ19" i="1"/>
  <c r="K193" i="1" s="1"/>
  <c r="V175" i="1"/>
  <c r="I47" i="442"/>
  <c r="J47" i="442" s="1"/>
  <c r="F21" i="442"/>
  <c r="I42" i="442"/>
  <c r="J42" i="442" s="1"/>
  <c r="K31" i="442"/>
  <c r="L31" i="442" s="1"/>
  <c r="K47" i="442"/>
  <c r="L47" i="442" s="1"/>
  <c r="J41" i="34"/>
  <c r="K41" i="34" s="1"/>
  <c r="K42" i="442"/>
  <c r="L42" i="442" s="1"/>
  <c r="K36" i="442"/>
  <c r="L36" i="442" s="1"/>
  <c r="M41" i="34"/>
  <c r="T214" i="1"/>
  <c r="T217" i="1" s="1"/>
  <c r="R214" i="1"/>
  <c r="R217" i="1" s="1"/>
  <c r="U214" i="1"/>
  <c r="U217" i="1" s="1"/>
  <c r="P214" i="1"/>
  <c r="P217" i="1" s="1"/>
  <c r="N214" i="1"/>
  <c r="N217" i="1" s="1"/>
  <c r="L214" i="1"/>
  <c r="L217" i="1" s="1"/>
  <c r="H214" i="1"/>
  <c r="H217" i="1" s="1"/>
  <c r="E214" i="1"/>
  <c r="E217" i="1" s="1"/>
  <c r="S214" i="1"/>
  <c r="S217" i="1" s="1"/>
  <c r="Q214" i="1"/>
  <c r="Q217" i="1" s="1"/>
  <c r="O214" i="1"/>
  <c r="O217" i="1" s="1"/>
  <c r="M214" i="1"/>
  <c r="M217" i="1" s="1"/>
  <c r="I214" i="1"/>
  <c r="I217" i="1" s="1"/>
  <c r="G40" i="34"/>
  <c r="F38" i="442"/>
  <c r="I36" i="442"/>
  <c r="I31" i="442"/>
  <c r="F47" i="442"/>
  <c r="F31" i="442"/>
  <c r="G184" i="1" l="1"/>
  <c r="F32" i="469"/>
  <c r="F36" i="469" s="1"/>
  <c r="G191" i="1"/>
  <c r="G207" i="1"/>
  <c r="J31" i="442"/>
  <c r="I49" i="442"/>
  <c r="J49" i="442" s="1"/>
  <c r="G197" i="1"/>
  <c r="G196" i="1"/>
  <c r="G200" i="1"/>
  <c r="G190" i="1"/>
  <c r="G206" i="1"/>
  <c r="G202" i="1"/>
  <c r="G201" i="1"/>
  <c r="J36" i="442"/>
  <c r="G186" i="1"/>
  <c r="G212" i="1"/>
  <c r="G211" i="1"/>
  <c r="G210" i="1"/>
  <c r="G205" i="1"/>
  <c r="G204" i="1"/>
  <c r="G44" i="1" s="1"/>
  <c r="G203" i="1"/>
  <c r="G193" i="1"/>
  <c r="G189" i="1"/>
  <c r="G209" i="1"/>
  <c r="G195" i="1"/>
  <c r="G194" i="1"/>
  <c r="G199" i="1"/>
  <c r="G198" i="1"/>
  <c r="G192" i="1"/>
  <c r="G183" i="1"/>
  <c r="F41" i="469"/>
  <c r="F17" i="469"/>
  <c r="F21" i="469"/>
  <c r="H46" i="442"/>
  <c r="G40" i="469"/>
  <c r="G41" i="469" s="1"/>
  <c r="I31" i="34"/>
  <c r="G23" i="469"/>
  <c r="K45" i="1"/>
  <c r="K46" i="1" s="1"/>
  <c r="G21" i="469" s="1"/>
  <c r="D45" i="1"/>
  <c r="D46" i="1" s="1"/>
  <c r="H41" i="442"/>
  <c r="G35" i="435"/>
  <c r="I38" i="34"/>
  <c r="E47" i="442"/>
  <c r="H45" i="442"/>
  <c r="I33" i="34"/>
  <c r="H44" i="442"/>
  <c r="I34" i="34"/>
  <c r="G39" i="435"/>
  <c r="G29" i="435"/>
  <c r="G38" i="435"/>
  <c r="I32" i="34"/>
  <c r="H40" i="442"/>
  <c r="F41" i="435"/>
  <c r="H25" i="442"/>
  <c r="I27" i="34"/>
  <c r="I39" i="34"/>
  <c r="I36" i="34"/>
  <c r="G34" i="435"/>
  <c r="I35" i="34"/>
  <c r="H39" i="442"/>
  <c r="G33" i="435"/>
  <c r="G24" i="435"/>
  <c r="H35" i="442"/>
  <c r="I37" i="34"/>
  <c r="G40" i="435"/>
  <c r="J46" i="1"/>
  <c r="G20" i="469" s="1"/>
  <c r="H29" i="442"/>
  <c r="G23" i="435"/>
  <c r="G19" i="435"/>
  <c r="F28" i="34"/>
  <c r="H28" i="34" s="1"/>
  <c r="F20" i="435"/>
  <c r="E26" i="442"/>
  <c r="G26" i="442" s="1"/>
  <c r="F22" i="34"/>
  <c r="H22" i="34" s="1"/>
  <c r="F17" i="435"/>
  <c r="E23" i="442"/>
  <c r="G23" i="442" s="1"/>
  <c r="J214" i="1"/>
  <c r="J217" i="1" s="1"/>
  <c r="F214" i="1"/>
  <c r="F217" i="1" s="1"/>
  <c r="F21" i="435"/>
  <c r="E27" i="442"/>
  <c r="F29" i="34"/>
  <c r="H29" i="34" s="1"/>
  <c r="G22" i="435"/>
  <c r="D214" i="1"/>
  <c r="D217" i="1" s="1"/>
  <c r="I30" i="34"/>
  <c r="H28" i="442"/>
  <c r="K214" i="1"/>
  <c r="K217" i="1" s="1"/>
  <c r="V176" i="1"/>
  <c r="F36" i="442"/>
  <c r="G47" i="442"/>
  <c r="K49" i="442"/>
  <c r="L49" i="442" s="1"/>
  <c r="F42" i="442"/>
  <c r="V44" i="1" l="1"/>
  <c r="F45" i="1"/>
  <c r="F46" i="1" s="1"/>
  <c r="G32" i="469" s="1"/>
  <c r="G36" i="469" s="1"/>
  <c r="F25" i="469"/>
  <c r="H23" i="442"/>
  <c r="G17" i="469"/>
  <c r="G25" i="469" s="1"/>
  <c r="V205" i="1"/>
  <c r="V185" i="1"/>
  <c r="V209" i="1"/>
  <c r="V203" i="1"/>
  <c r="V195" i="1"/>
  <c r="V184" i="1"/>
  <c r="V211" i="1"/>
  <c r="V207" i="1"/>
  <c r="V206" i="1"/>
  <c r="V198" i="1"/>
  <c r="V192" i="1"/>
  <c r="V186" i="1"/>
  <c r="H41" i="34"/>
  <c r="V210" i="1"/>
  <c r="V202" i="1"/>
  <c r="V196" i="1"/>
  <c r="V191" i="1"/>
  <c r="V190" i="1"/>
  <c r="V189" i="1"/>
  <c r="V183" i="1"/>
  <c r="V212" i="1"/>
  <c r="V208" i="1"/>
  <c r="V204" i="1"/>
  <c r="V201" i="1"/>
  <c r="V200" i="1"/>
  <c r="V197" i="1"/>
  <c r="V194" i="1"/>
  <c r="V193" i="1"/>
  <c r="F32" i="435"/>
  <c r="F36" i="435" s="1"/>
  <c r="V199" i="1"/>
  <c r="F24" i="34"/>
  <c r="H24" i="34" s="1"/>
  <c r="E38" i="442"/>
  <c r="E42" i="442" s="1"/>
  <c r="G214" i="1"/>
  <c r="G217" i="1" s="1"/>
  <c r="H47" i="442"/>
  <c r="G41" i="435"/>
  <c r="H26" i="442"/>
  <c r="G20" i="435"/>
  <c r="I28" i="34"/>
  <c r="F41" i="34"/>
  <c r="I22" i="34"/>
  <c r="W45" i="1"/>
  <c r="F25" i="435"/>
  <c r="G17" i="435"/>
  <c r="I23" i="34"/>
  <c r="G27" i="435"/>
  <c r="H33" i="442"/>
  <c r="G27" i="442"/>
  <c r="G31" i="442" s="1"/>
  <c r="E31" i="442"/>
  <c r="G18" i="435"/>
  <c r="H24" i="442"/>
  <c r="I26" i="34"/>
  <c r="F49" i="442"/>
  <c r="G45" i="1" l="1"/>
  <c r="F28" i="469"/>
  <c r="F30" i="469" s="1"/>
  <c r="F43" i="469" s="1"/>
  <c r="V214" i="1"/>
  <c r="V217" i="1" s="1"/>
  <c r="H38" i="442"/>
  <c r="H42" i="442" s="1"/>
  <c r="G32" i="435"/>
  <c r="G36" i="435" s="1"/>
  <c r="I24" i="34"/>
  <c r="G38" i="442"/>
  <c r="G42" i="442" s="1"/>
  <c r="F28" i="435"/>
  <c r="F30" i="435" s="1"/>
  <c r="F43" i="435" s="1"/>
  <c r="E34" i="442"/>
  <c r="F25" i="34"/>
  <c r="G21" i="435"/>
  <c r="G25" i="435" s="1"/>
  <c r="H27" i="442"/>
  <c r="H31" i="442" s="1"/>
  <c r="I29" i="34"/>
  <c r="I41" i="34" s="1"/>
  <c r="W46" i="1"/>
  <c r="H25" i="34" l="1"/>
  <c r="H40" i="34" s="1"/>
  <c r="F40" i="34"/>
  <c r="G34" i="442"/>
  <c r="G36" i="442" s="1"/>
  <c r="G49" i="442" s="1"/>
  <c r="E36" i="442"/>
  <c r="E49" i="442" s="1"/>
  <c r="G46" i="1"/>
  <c r="G28" i="469" s="1"/>
  <c r="G30" i="469" s="1"/>
  <c r="G43" i="469" s="1"/>
  <c r="X45" i="1"/>
  <c r="V45" i="1"/>
  <c r="O56" i="34" s="1"/>
  <c r="M50" i="469" l="1"/>
  <c r="M51" i="469"/>
  <c r="M59" i="469"/>
  <c r="M60" i="469"/>
  <c r="M57" i="469"/>
  <c r="M58" i="469"/>
  <c r="M55" i="469"/>
  <c r="M56" i="469"/>
  <c r="M53" i="469"/>
  <c r="M54" i="469"/>
  <c r="M52" i="469"/>
  <c r="M50" i="435"/>
  <c r="N55" i="442"/>
  <c r="M59" i="435"/>
  <c r="N64" i="442"/>
  <c r="M57" i="435"/>
  <c r="N62" i="442"/>
  <c r="M55" i="435"/>
  <c r="N60" i="442"/>
  <c r="N58" i="442"/>
  <c r="M53" i="435"/>
  <c r="H34" i="442"/>
  <c r="H36" i="442" s="1"/>
  <c r="H49" i="442" s="1"/>
  <c r="I25" i="34"/>
  <c r="I40" i="34" s="1"/>
  <c r="G28" i="435"/>
  <c r="G30" i="435" s="1"/>
  <c r="G43" i="435" s="1"/>
  <c r="X46" i="1"/>
  <c r="V46" i="1"/>
  <c r="M51" i="435" l="1"/>
  <c r="N65" i="442"/>
  <c r="M60" i="435"/>
  <c r="N63" i="442"/>
  <c r="M58" i="435"/>
  <c r="N61" i="442"/>
  <c r="M56" i="435"/>
  <c r="N59" i="442"/>
  <c r="M54" i="435"/>
  <c r="N57" i="442"/>
  <c r="M52" i="435"/>
  <c r="M61" i="469"/>
  <c r="N56" i="442"/>
  <c r="O61" i="34"/>
  <c r="M61" i="435" l="1"/>
  <c r="N66" i="4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  <author>Hadjikostis  Marios</author>
  </authors>
  <commentList>
    <comment ref="AL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1"/>
            <color indexed="81"/>
            <rFont val="Tahoma"/>
            <family val="2"/>
            <charset val="161"/>
          </rPr>
          <t>Απο το υψόμετρο σταδίας προσ</t>
        </r>
        <r>
          <rPr>
            <sz val="9"/>
            <color indexed="81"/>
            <rFont val="Tahoma"/>
            <family val="2"/>
            <charset val="161"/>
          </rPr>
          <t xml:space="preserve">θέτουμε 22,74
</t>
        </r>
      </text>
    </comment>
    <comment ref="AP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1"/>
            <color indexed="81"/>
            <rFont val="Tahoma"/>
            <family val="2"/>
            <charset val="161"/>
          </rPr>
          <t>Απο το υψόμετρο σταδίας προσθέτουμε</t>
        </r>
        <r>
          <rPr>
            <sz val="9"/>
            <color indexed="81"/>
            <rFont val="Tahoma"/>
            <family val="2"/>
            <charset val="161"/>
          </rPr>
          <t xml:space="preserve"> </t>
        </r>
        <r>
          <rPr>
            <sz val="12"/>
            <color indexed="81"/>
            <rFont val="Tahoma"/>
            <family val="2"/>
            <charset val="161"/>
          </rPr>
          <t>511,30</t>
        </r>
        <r>
          <rPr>
            <sz val="9"/>
            <color indexed="81"/>
            <rFont val="Tahoma"/>
            <family val="2"/>
            <charset val="161"/>
          </rPr>
          <t xml:space="preserve">
</t>
        </r>
      </text>
    </comment>
    <comment ref="BB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1"/>
            <color indexed="81"/>
            <rFont val="Tahoma"/>
            <family val="2"/>
            <charset val="161"/>
          </rPr>
          <t>Απο το υψόμετρο σταδίας προσθέτουμε</t>
        </r>
        <r>
          <rPr>
            <sz val="9"/>
            <color indexed="81"/>
            <rFont val="Tahoma"/>
            <family val="2"/>
            <charset val="161"/>
          </rPr>
          <t xml:space="preserve"> </t>
        </r>
        <r>
          <rPr>
            <sz val="12"/>
            <color indexed="81"/>
            <rFont val="Tahoma"/>
            <family val="2"/>
            <charset val="161"/>
          </rPr>
          <t>511,30</t>
        </r>
        <r>
          <rPr>
            <sz val="9"/>
            <color indexed="81"/>
            <rFont val="Tahoma"/>
            <family val="2"/>
            <charset val="161"/>
          </rPr>
          <t xml:space="preserve">
</t>
        </r>
      </text>
    </comment>
    <comment ref="AE41" authorId="1" shapeId="0" xr:uid="{B3837B20-F842-4618-8E55-3AD85FF3D0E5}">
      <text>
        <r>
          <rPr>
            <b/>
            <sz val="9"/>
            <color indexed="81"/>
            <rFont val="Tahoma"/>
            <family val="2"/>
            <charset val="161"/>
          </rPr>
          <t>Hadjikostis  Marios:</t>
        </r>
        <r>
          <rPr>
            <sz val="9"/>
            <color indexed="81"/>
            <rFont val="Tahoma"/>
            <family val="2"/>
            <charset val="161"/>
          </rPr>
          <t xml:space="preserve">
Ένδειξη από κάμερα</t>
        </r>
      </text>
    </comment>
    <comment ref="AG41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161"/>
          </rPr>
          <t>Hadjikostis  Marios:</t>
        </r>
        <r>
          <rPr>
            <sz val="9"/>
            <color indexed="81"/>
            <rFont val="Tahoma"/>
            <family val="2"/>
            <charset val="161"/>
          </rPr>
          <t xml:space="preserve">
Ένδειξη από κάμερα</t>
        </r>
      </text>
    </comment>
    <comment ref="AI41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161"/>
          </rPr>
          <t>Hadjikostis  Marios:</t>
        </r>
        <r>
          <rPr>
            <sz val="9"/>
            <color indexed="81"/>
            <rFont val="Tahoma"/>
            <family val="2"/>
            <charset val="161"/>
          </rPr>
          <t xml:space="preserve">
Ένδειξη από κάμερα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H60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161"/>
          </rPr>
          <t>Phedros Rousis:</t>
        </r>
        <r>
          <rPr>
            <sz val="8"/>
            <color indexed="81"/>
            <rFont val="Tahoma"/>
            <family val="2"/>
            <charset val="161"/>
          </rPr>
          <t xml:space="preserve">
</t>
        </r>
        <r>
          <rPr>
            <sz val="11"/>
            <color indexed="81"/>
            <rFont val="Arial"/>
            <family val="2"/>
            <charset val="161"/>
          </rPr>
          <t>INFLOW SEPTEMBER</t>
        </r>
      </text>
    </comment>
    <comment ref="I60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161"/>
          </rPr>
          <t>Phedros Rousis:</t>
        </r>
        <r>
          <rPr>
            <sz val="8"/>
            <color indexed="81"/>
            <rFont val="Tahoma"/>
            <family val="2"/>
            <charset val="161"/>
          </rPr>
          <t xml:space="preserve">
SEPTEMBER</t>
        </r>
      </text>
    </comment>
  </commentList>
</comments>
</file>

<file path=xl/sharedStrings.xml><?xml version="1.0" encoding="utf-8"?>
<sst xmlns="http://schemas.openxmlformats.org/spreadsheetml/2006/main" count="693" uniqueCount="299">
  <si>
    <t xml:space="preserve"> </t>
  </si>
  <si>
    <t xml:space="preserve">  </t>
  </si>
  <si>
    <t>W.D.D.</t>
  </si>
  <si>
    <t>O&amp;M Division</t>
  </si>
  <si>
    <t>DAMS</t>
  </si>
  <si>
    <t xml:space="preserve"> KOURIS</t>
  </si>
  <si>
    <t>ASPROKR.</t>
  </si>
  <si>
    <t>EVRETOU</t>
  </si>
  <si>
    <t>KALAVAS.</t>
  </si>
  <si>
    <t>LEFKARA</t>
  </si>
  <si>
    <t>DHYPOT.</t>
  </si>
  <si>
    <t>YERMAS.</t>
  </si>
  <si>
    <t xml:space="preserve"> AKHNA</t>
  </si>
  <si>
    <t>POLEM.</t>
  </si>
  <si>
    <t>MAVROK.</t>
  </si>
  <si>
    <t>VIZAKIA</t>
  </si>
  <si>
    <t>XYL.</t>
  </si>
  <si>
    <t>ARGAKA</t>
  </si>
  <si>
    <t>POMOS</t>
  </si>
  <si>
    <t>KALOP.</t>
  </si>
  <si>
    <t>AY.MAR.</t>
  </si>
  <si>
    <t>TOTAL</t>
  </si>
  <si>
    <t>CHANGE</t>
  </si>
  <si>
    <t>LOSSES(-)</t>
  </si>
  <si>
    <t>DATE</t>
  </si>
  <si>
    <t>CAPA-</t>
  </si>
  <si>
    <t>MCM</t>
  </si>
  <si>
    <t>OF</t>
  </si>
  <si>
    <t>INFLOW(+)</t>
  </si>
  <si>
    <t>CITY</t>
  </si>
  <si>
    <t>STORAGE</t>
  </si>
  <si>
    <t>DISCR.-</t>
  </si>
  <si>
    <t>M</t>
  </si>
  <si>
    <t>CH.IN  STOR.</t>
  </si>
  <si>
    <t>RELE ASES</t>
  </si>
  <si>
    <t>NET I N FLOW</t>
  </si>
  <si>
    <t>MONTH TOTAL</t>
  </si>
  <si>
    <t xml:space="preserve">TOTAL 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</si>
  <si>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</si>
  <si>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</si>
  <si>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</si>
  <si>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</si>
  <si>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</si>
  <si>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</si>
  <si>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</si>
  <si>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</si>
  <si>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</si>
  <si>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MONTH TOT</t>
  </si>
  <si>
    <t xml:space="preserve">      O&amp;M Division</t>
  </si>
  <si>
    <t>CAP.</t>
  </si>
  <si>
    <t>OUT</t>
  </si>
  <si>
    <t>MONT.TOT</t>
  </si>
  <si>
    <t>XYLIAT.</t>
  </si>
  <si>
    <t>0.990</t>
  </si>
  <si>
    <t>0.860</t>
  </si>
  <si>
    <t>0.363</t>
  </si>
  <si>
    <t>0.298</t>
  </si>
  <si>
    <t>%</t>
  </si>
  <si>
    <t>MONTH</t>
  </si>
  <si>
    <t>KOURIS</t>
  </si>
  <si>
    <t>Kalavasos</t>
  </si>
  <si>
    <t>ELEVATION</t>
  </si>
  <si>
    <t>M^2</t>
  </si>
  <si>
    <t>AVG-STR</t>
  </si>
  <si>
    <t>ΟΛΙΚΟ</t>
  </si>
  <si>
    <t>JULY</t>
  </si>
  <si>
    <t>ARMINOU</t>
  </si>
  <si>
    <t>1</t>
  </si>
  <si>
    <t>2</t>
  </si>
  <si>
    <t xml:space="preserve"> Αρμίνου </t>
  </si>
  <si>
    <t>DIVERTION</t>
  </si>
  <si>
    <t>SCP</t>
  </si>
  <si>
    <t>VYZAKIA</t>
  </si>
  <si>
    <t xml:space="preserve">TOTAL  </t>
  </si>
  <si>
    <t>Πληρό-</t>
  </si>
  <si>
    <t>τητα</t>
  </si>
  <si>
    <t xml:space="preserve">Εισροή </t>
  </si>
  <si>
    <t>Ποσότητα</t>
  </si>
  <si>
    <t>Φράγμα</t>
  </si>
  <si>
    <t>AUGUST</t>
  </si>
  <si>
    <t xml:space="preserve"> Πωμός</t>
  </si>
  <si>
    <t>Χωρητι-</t>
  </si>
  <si>
    <t>κότητα</t>
  </si>
  <si>
    <t>Ε.Κ.Μ</t>
  </si>
  <si>
    <t>Τελευτ.</t>
  </si>
  <si>
    <t>Συνολική</t>
  </si>
  <si>
    <t>Ε.Κ.Μ.</t>
  </si>
  <si>
    <t>Αντίστοιχη Περσινή</t>
  </si>
  <si>
    <t>Μέγιστη</t>
  </si>
  <si>
    <t xml:space="preserve"> Κούρης</t>
  </si>
  <si>
    <t xml:space="preserve"> Ασπρόκρεμμος</t>
  </si>
  <si>
    <t xml:space="preserve"> Ευρέτου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</si>
  <si>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</si>
  <si>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</si>
  <si>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</si>
  <si>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</si>
  <si>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Πολεμίδια</t>
  </si>
  <si>
    <t xml:space="preserve"> Μαυροκόλυμπος</t>
  </si>
  <si>
    <t xml:space="preserve"> Βυζακιά</t>
  </si>
  <si>
    <t xml:space="preserve"> Ξυλιάτος</t>
  </si>
  <si>
    <t xml:space="preserve"> Αργάκα</t>
  </si>
  <si>
    <t xml:space="preserve"> Καλοπαναγιώτης</t>
  </si>
  <si>
    <t xml:space="preserve"> Αγία Μαρίνα</t>
  </si>
  <si>
    <t xml:space="preserve"> Αχνα</t>
  </si>
  <si>
    <t>Ημερομ.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</si>
  <si>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</si>
  <si>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</si>
  <si>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</si>
  <si>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</si>
  <si>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</si>
  <si>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</si>
  <si>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Μάη</t>
  </si>
  <si>
    <t xml:space="preserve">  Ιούνη</t>
  </si>
  <si>
    <t xml:space="preserve">  Ιούλη</t>
  </si>
  <si>
    <t xml:space="preserve">  ΟΛΙΚΟ</t>
  </si>
  <si>
    <t xml:space="preserve">  Απρίλη</t>
  </si>
  <si>
    <t>Νερού</t>
  </si>
  <si>
    <t xml:space="preserve"> ΕΙΣΡΟΗ ΝΕΡΟΥ ΤΗΝ ΤΕΛΕΥΤΑΙΑ ΔΕΚΑΕΤΙΑ ( Ε.Κ.Μ. )</t>
  </si>
  <si>
    <t>Αποθηκευμένη Ποσότητα</t>
  </si>
  <si>
    <t>Σημερινή</t>
  </si>
  <si>
    <t xml:space="preserve">  Αυγ.-Σεπτ.</t>
  </si>
  <si>
    <t xml:space="preserve">         MAJOR DAMS ELEVATION</t>
  </si>
  <si>
    <t xml:space="preserve">          O&amp;M Division</t>
  </si>
  <si>
    <t>Απο 1/10</t>
  </si>
  <si>
    <t xml:space="preserve">       RELEASES </t>
  </si>
  <si>
    <t>ΙΣΤΟΣΕΛΙΔΑ ΤΑΥ www.moa.gov.cy/wdd</t>
  </si>
  <si>
    <t>Elev.</t>
  </si>
  <si>
    <t>KANNAVIOU  17,168</t>
  </si>
  <si>
    <t>SEPTEMB.</t>
  </si>
  <si>
    <t xml:space="preserve"> Κανναβιού</t>
  </si>
  <si>
    <t>KANNAV.</t>
  </si>
  <si>
    <t>Απο</t>
  </si>
  <si>
    <t>Αφαλάτωση</t>
  </si>
  <si>
    <t>Εισροή</t>
  </si>
  <si>
    <t xml:space="preserve">Συνολική </t>
  </si>
  <si>
    <t>Αύξηση +</t>
  </si>
  <si>
    <t>Μείωση -</t>
  </si>
  <si>
    <t>Μεταφορά απο</t>
  </si>
  <si>
    <t>Φράγματα</t>
  </si>
  <si>
    <t>Ανακύκλωση</t>
  </si>
  <si>
    <t>Αλλες Πηγές +</t>
  </si>
  <si>
    <t>Αποθεμά-</t>
  </si>
  <si>
    <t>των</t>
  </si>
  <si>
    <t>Εισροή , Μεταφορά Νερού, Εκροές</t>
  </si>
  <si>
    <t xml:space="preserve"> ΕΙΣΡΟΗ ΝΕΡΟΥ ΤΑ ΤΕΛΕΥΤΑΙΑ ΕΝΤΕΚΑ  ΧΡΟΝΙΑ ( Ε.Κ.Μ. )</t>
  </si>
  <si>
    <t>ΠΑΦΟΣ</t>
  </si>
  <si>
    <t>Kannaviou</t>
  </si>
  <si>
    <t>TAMASOS 2,8</t>
  </si>
  <si>
    <t>KLIROU 2,0</t>
  </si>
  <si>
    <t>STOR.</t>
  </si>
  <si>
    <t>Εκροές -Εξάτμ.-</t>
  </si>
  <si>
    <t>ΟΛΙΚΟ *(Ε.Σ.Ν.Α.)</t>
  </si>
  <si>
    <t>* Ε.Σ.Ν.Α.(Ενιαίο Σχέδιο Νοτίου Αγωγού - Κούρης,Καλαβασός,Λεύκαρα,Διπόταμος,Γερμασόγεια,Πολεμίδια,Αρμίνου)</t>
  </si>
  <si>
    <t>KANNAVIOU</t>
  </si>
  <si>
    <t xml:space="preserve"> AREA </t>
  </si>
  <si>
    <t xml:space="preserve">EVAPORATION   CM  </t>
  </si>
  <si>
    <t>GERMAS.</t>
  </si>
  <si>
    <t>T</t>
  </si>
  <si>
    <t>INFLOWS</t>
  </si>
  <si>
    <t>Ταμασός</t>
  </si>
  <si>
    <t>14/15</t>
  </si>
  <si>
    <t>Σολέα</t>
  </si>
  <si>
    <t>SOLEA 4,454</t>
  </si>
  <si>
    <t>ΧΡΥΣΟΧΟΥ</t>
  </si>
  <si>
    <t>Κλήρου-Μαλούντα</t>
  </si>
  <si>
    <t>Ημερομ.:</t>
  </si>
  <si>
    <t>PAFOS</t>
  </si>
  <si>
    <t>ΛΕΥΚΩΣΙΑ</t>
  </si>
  <si>
    <t>ΝΟΤΙΟΣ ΑΓΩΓΟΣ</t>
  </si>
  <si>
    <t>Solea</t>
  </si>
  <si>
    <t>ΓΕΝΙΚΟ ΣΥΝΟΛΟ</t>
  </si>
  <si>
    <t>solea</t>
  </si>
  <si>
    <t xml:space="preserve">EVAPORATION  MM  </t>
  </si>
  <si>
    <t>15/16</t>
  </si>
  <si>
    <t>Tamasos</t>
  </si>
  <si>
    <t>Klirou</t>
  </si>
  <si>
    <t>INFLOWS   OCTOBER 2015</t>
  </si>
  <si>
    <t>Ανακυκλ.</t>
  </si>
  <si>
    <t>PUMPING</t>
  </si>
  <si>
    <t>Προς Σταυροβ.</t>
  </si>
  <si>
    <t>POLIS</t>
  </si>
  <si>
    <t>TO SCP</t>
  </si>
  <si>
    <t>Μεταφοά</t>
  </si>
  <si>
    <t>16/17</t>
  </si>
  <si>
    <t>ΕΜΠΛΟΥΤΙΣΤΙΚΑ ΚΑΙ ΑΛΛΑ</t>
  </si>
  <si>
    <t>DHIPOTAMOS</t>
  </si>
  <si>
    <t>to KORNOS</t>
  </si>
  <si>
    <t>17/18</t>
  </si>
  <si>
    <t>18/19</t>
  </si>
  <si>
    <t>539,50 O/F</t>
  </si>
  <si>
    <t>W</t>
  </si>
  <si>
    <t>F</t>
  </si>
  <si>
    <t>S</t>
  </si>
  <si>
    <t>TO</t>
  </si>
  <si>
    <t>ARMINOU TO KOURIS</t>
  </si>
  <si>
    <t>19/20</t>
  </si>
  <si>
    <t xml:space="preserve"> Ε.Κ.Μ.</t>
  </si>
  <si>
    <t>(OVERFLOW)</t>
  </si>
  <si>
    <t>(Total)</t>
  </si>
  <si>
    <t>20/21</t>
  </si>
  <si>
    <t xml:space="preserve"> MAJOR DAMS STORAGE</t>
  </si>
  <si>
    <t xml:space="preserve">                 ΑΝΑΛΥΣΗ ΠΟΣΟΤΗΤΩΝ ΝΕΡΟΥ ΣΤΑ ΜΕΓΑΛΑ ΦΡΑΓΜΑΤΑ</t>
  </si>
  <si>
    <t xml:space="preserve">                                                                       ΕΙΣΡΟΕΣ - ΜΕΤΑΦΟΡΕΣ - ΕΚΡΟΕΣ - ΑΠΟΘΕΜΑΤΑ</t>
  </si>
  <si>
    <t xml:space="preserve">                                 ΑΝΑΛΥΣΗ ΠΟΣΟΤΗΤΩΝ ΝΕΡΟΥ ΣΤΑ ΜΕΓΑΛΑ ΦΡΑΓΜΑΤΑ</t>
  </si>
  <si>
    <t xml:space="preserve">                                                                                       ΕΙΣΡΟΕΣ - ΜΕΤΑΦΟΡΕΣ - ΕΚΡΟΕΣ - ΑΠΟΘΕΜΑΤΑ</t>
  </si>
  <si>
    <t xml:space="preserve">                                                                     ΠΟΣΟΤΗΤΕΣ ΝΕΡΟΥ ΣΤΑ ΜΕΓΑΛΑ ΦΡΑΓΜΑΤΑ</t>
  </si>
  <si>
    <t>21/22</t>
  </si>
  <si>
    <t xml:space="preserve">   Ε.Κ.Μ. - Εκατομμύρια Kυβικά  Mέτρα.</t>
  </si>
  <si>
    <t>22/23</t>
  </si>
  <si>
    <t>23/24</t>
  </si>
  <si>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</si>
  <si>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</si>
  <si>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</si>
  <si>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</si>
  <si>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</si>
  <si>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</si>
  <si>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</si>
  <si>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</si>
  <si>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</si>
  <si>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</si>
  <si>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</si>
  <si>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</si>
  <si>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Date</t>
  </si>
  <si>
    <t>SOUTHERN CONVEYOR</t>
  </si>
  <si>
    <t>Kouris</t>
  </si>
  <si>
    <t>Lefkara</t>
  </si>
  <si>
    <t>Dipotamos</t>
  </si>
  <si>
    <t>Germasoyeia</t>
  </si>
  <si>
    <t>Arminou</t>
  </si>
  <si>
    <t>Polemidia</t>
  </si>
  <si>
    <t>Achna</t>
  </si>
  <si>
    <t>Asprokremmos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</si>
  <si>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</si>
  <si>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</si>
  <si>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</si>
  <si>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</si>
  <si>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</si>
  <si>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</si>
  <si>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</si>
  <si>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</si>
  <si>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</si>
  <si>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</si>
  <si>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</si>
  <si>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</si>
  <si>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</si>
  <si>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</si>
  <si>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</si>
  <si>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</si>
  <si>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</si>
  <si>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</si>
  <si>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</si>
  <si>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</si>
  <si>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</si>
  <si>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</si>
  <si>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</si>
  <si>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</si>
  <si>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</si>
  <si>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</si>
  <si>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</si>
  <si>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</si>
  <si>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WEB PAGE WDD- www.moa.gov.cy/wdd</t>
  </si>
  <si>
    <t>24/25</t>
  </si>
  <si>
    <t>21/2</t>
  </si>
  <si>
    <t>28/3</t>
  </si>
  <si>
    <t>25/26</t>
  </si>
  <si>
    <t>1/10/2025</t>
  </si>
  <si>
    <t>7/1</t>
  </si>
  <si>
    <t>3/1</t>
  </si>
  <si>
    <t>7/3</t>
  </si>
  <si>
    <t>1/1</t>
  </si>
  <si>
    <t>30/5</t>
  </si>
  <si>
    <t>31/1</t>
  </si>
  <si>
    <t>14/5</t>
  </si>
  <si>
    <t>17/1</t>
  </si>
  <si>
    <t>11/1</t>
  </si>
  <si>
    <t>24/3</t>
  </si>
  <si>
    <t>17/4</t>
  </si>
  <si>
    <t>30/4</t>
  </si>
  <si>
    <t>18/4</t>
  </si>
  <si>
    <t>30,4</t>
  </si>
  <si>
    <t>5/2</t>
  </si>
  <si>
    <t>15/1</t>
  </si>
  <si>
    <t>29/1</t>
  </si>
  <si>
    <t xml:space="preserve">  Μεταφορά νερού από Αρμίνου στο φράγμα Κούρη από  01/10/2025 -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</si>
  <si>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</si>
  <si>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</si>
  <si>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</si>
  <si>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</si>
  <si>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</si>
  <si>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</si>
  <si>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</si>
  <si>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</si>
  <si>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</si>
  <si>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Water transferred from Arminou to Kouris dam since  1/10/2025 -</t>
  </si>
  <si>
    <t>13/3</t>
  </si>
  <si>
    <t>27/3</t>
  </si>
  <si>
    <t>APR 2026</t>
  </si>
  <si>
    <t>24ώρου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</si>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</sst>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.0"/>
    <numFmt numFmtId="167" formatCode="#,##0.000"/>
    <numFmt numFmtId="168" formatCode="0.0%"/>
    <numFmt numFmtId="169" formatCode="0.0;[Red]0.0"/>
    <numFmt numFmtId="170" formatCode="d/m/yyyy;@"/>
    <numFmt numFmtId="171" formatCode="d/m;@"/>
    <numFmt numFmtId="172" formatCode="0.000000"/>
  </numFmts>
  <fonts count="60" x14ac:knownFonts="1">
    <font>
      <sz val="10"/>
      <name val="HellasArial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0"/>
      <name val="Hellas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  <charset val="161"/>
    </font>
    <font>
      <b/>
      <sz val="14"/>
      <name val="Arial"/>
      <family val="2"/>
      <charset val="161"/>
    </font>
    <font>
      <sz val="14"/>
      <name val="Arial"/>
      <family val="2"/>
      <charset val="161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  <charset val="161"/>
    </font>
    <font>
      <sz val="16"/>
      <name val="Arial"/>
      <family val="2"/>
      <charset val="161"/>
    </font>
    <font>
      <b/>
      <sz val="11"/>
      <name val="Arial"/>
      <family val="2"/>
      <charset val="161"/>
    </font>
    <font>
      <b/>
      <sz val="18"/>
      <name val="Arial"/>
      <family val="2"/>
    </font>
    <font>
      <b/>
      <sz val="16"/>
      <name val="Arial"/>
      <family val="2"/>
    </font>
    <font>
      <sz val="14"/>
      <name val="Bookman Old Style"/>
      <family val="1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  <font>
      <sz val="11"/>
      <name val="Bookman Old Style"/>
      <family val="1"/>
      <charset val="161"/>
    </font>
    <font>
      <b/>
      <sz val="15"/>
      <name val="Bookman Old Style"/>
      <family val="1"/>
      <charset val="161"/>
    </font>
    <font>
      <b/>
      <sz val="16"/>
      <name val="Bookman Old Style"/>
      <family val="1"/>
      <charset val="161"/>
    </font>
    <font>
      <sz val="16"/>
      <name val="Bookman Old Style"/>
      <family val="1"/>
      <charset val="161"/>
    </font>
    <font>
      <sz val="8"/>
      <color indexed="81"/>
      <name val="Tahoma"/>
      <family val="2"/>
      <charset val="161"/>
    </font>
    <font>
      <b/>
      <sz val="8"/>
      <color indexed="81"/>
      <name val="Tahoma"/>
      <family val="2"/>
      <charset val="161"/>
    </font>
    <font>
      <b/>
      <sz val="16"/>
      <name val="Arial"/>
      <family val="2"/>
      <charset val="161"/>
    </font>
    <font>
      <sz val="11"/>
      <color indexed="81"/>
      <name val="Tahoma"/>
      <family val="2"/>
      <charset val="161"/>
    </font>
    <font>
      <sz val="12"/>
      <color indexed="81"/>
      <name val="Tahoma"/>
      <family val="2"/>
      <charset val="161"/>
    </font>
    <font>
      <sz val="12"/>
      <name val="Arial"/>
      <family val="2"/>
      <charset val="161"/>
    </font>
    <font>
      <sz val="10"/>
      <name val="Arial Greek"/>
      <family val="2"/>
    </font>
    <font>
      <sz val="18"/>
      <name val="Bookman Old Style"/>
      <family val="1"/>
      <charset val="161"/>
    </font>
    <font>
      <sz val="11"/>
      <color indexed="81"/>
      <name val="Arial"/>
      <family val="2"/>
      <charset val="161"/>
    </font>
    <font>
      <b/>
      <sz val="18"/>
      <name val="Bookman Old Style"/>
      <family val="1"/>
      <charset val="161"/>
    </font>
    <font>
      <b/>
      <u/>
      <sz val="16"/>
      <name val="Bookman Old Style"/>
      <family val="1"/>
      <charset val="161"/>
    </font>
    <font>
      <sz val="16"/>
      <name val="Arial Greek"/>
      <family val="2"/>
      <charset val="161"/>
    </font>
    <font>
      <sz val="17"/>
      <name val="Bookman Old Style"/>
      <family val="1"/>
      <charset val="161"/>
    </font>
    <font>
      <b/>
      <u/>
      <sz val="18"/>
      <name val="Bookman Old Style"/>
      <family val="1"/>
      <charset val="161"/>
    </font>
    <font>
      <sz val="18"/>
      <name val="HellasArial"/>
      <family val="2"/>
    </font>
    <font>
      <sz val="8"/>
      <name val="HellasArial"/>
      <family val="2"/>
    </font>
    <font>
      <b/>
      <sz val="14"/>
      <name val="Arial Greek"/>
      <family val="2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  <font>
      <b/>
      <sz val="18"/>
      <name val="Arial"/>
      <family val="2"/>
      <charset val="161"/>
    </font>
    <font>
      <b/>
      <sz val="18"/>
      <color rgb="FFFF0000"/>
      <name val="Arial"/>
      <family val="2"/>
    </font>
    <font>
      <b/>
      <sz val="14"/>
      <color rgb="FFFF0000"/>
      <name val="Arial"/>
      <family val="2"/>
    </font>
    <font>
      <b/>
      <sz val="18"/>
      <color rgb="FFFF0000"/>
      <name val="Arial"/>
      <family val="2"/>
      <charset val="161"/>
    </font>
    <font>
      <b/>
      <sz val="10"/>
      <color theme="1"/>
      <name val="Arial"/>
      <family val="2"/>
    </font>
    <font>
      <b/>
      <sz val="16"/>
      <name val="Bookman Old Style"/>
      <family val="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Arial Greek"/>
      <family val="2"/>
      <charset val="161"/>
    </font>
    <font>
      <b/>
      <sz val="16"/>
      <name val="Hellas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26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double">
        <color indexed="64"/>
      </right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2" fillId="0" borderId="0"/>
    <xf numFmtId="0" fontId="11" fillId="0" borderId="0"/>
    <xf numFmtId="0" fontId="3" fillId="0" borderId="0"/>
    <xf numFmtId="0" fontId="1" fillId="0" borderId="0"/>
  </cellStyleXfs>
  <cellXfs count="921">
    <xf numFmtId="0" fontId="0" fillId="0" borderId="0" xfId="0"/>
    <xf numFmtId="0" fontId="4" fillId="0" borderId="0" xfId="0" applyFont="1"/>
    <xf numFmtId="0" fontId="11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0" fontId="15" fillId="0" borderId="0" xfId="0" applyFont="1" applyAlignment="1">
      <alignment horizontal="left"/>
    </xf>
    <xf numFmtId="0" fontId="4" fillId="0" borderId="16" xfId="0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164" fontId="4" fillId="0" borderId="0" xfId="0" applyNumberFormat="1" applyFont="1"/>
    <xf numFmtId="0" fontId="4" fillId="0" borderId="30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7" fontId="4" fillId="0" borderId="19" xfId="0" applyNumberFormat="1" applyFont="1" applyBorder="1" applyAlignment="1">
      <alignment horizontal="center"/>
    </xf>
    <xf numFmtId="167" fontId="4" fillId="0" borderId="20" xfId="0" applyNumberFormat="1" applyFont="1" applyBorder="1" applyAlignment="1">
      <alignment horizontal="center"/>
    </xf>
    <xf numFmtId="167" fontId="4" fillId="0" borderId="20" xfId="0" applyNumberFormat="1" applyFont="1" applyBorder="1"/>
    <xf numFmtId="167" fontId="9" fillId="0" borderId="0" xfId="0" applyNumberFormat="1" applyFont="1"/>
    <xf numFmtId="164" fontId="14" fillId="0" borderId="0" xfId="0" applyNumberFormat="1" applyFont="1" applyAlignment="1">
      <alignment horizontal="center"/>
    </xf>
    <xf numFmtId="0" fontId="4" fillId="0" borderId="30" xfId="0" applyFont="1" applyBorder="1"/>
    <xf numFmtId="0" fontId="4" fillId="0" borderId="19" xfId="0" applyFont="1" applyBorder="1"/>
    <xf numFmtId="0" fontId="4" fillId="0" borderId="20" xfId="0" applyFont="1" applyBorder="1" applyAlignment="1">
      <alignment horizontal="center"/>
    </xf>
    <xf numFmtId="0" fontId="4" fillId="0" borderId="17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15" xfId="0" applyFont="1" applyBorder="1"/>
    <xf numFmtId="0" fontId="14" fillId="0" borderId="30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164" fontId="14" fillId="0" borderId="20" xfId="0" applyNumberFormat="1" applyFont="1" applyBorder="1" applyAlignment="1">
      <alignment horizontal="center"/>
    </xf>
    <xf numFmtId="164" fontId="14" fillId="0" borderId="30" xfId="0" applyNumberFormat="1" applyFont="1" applyBorder="1" applyAlignment="1">
      <alignment horizontal="center"/>
    </xf>
    <xf numFmtId="167" fontId="14" fillId="0" borderId="0" xfId="0" applyNumberFormat="1" applyFont="1" applyAlignment="1">
      <alignment horizontal="center"/>
    </xf>
    <xf numFmtId="164" fontId="5" fillId="0" borderId="0" xfId="0" applyNumberFormat="1" applyFont="1"/>
    <xf numFmtId="0" fontId="14" fillId="0" borderId="0" xfId="0" applyFont="1" applyAlignment="1">
      <alignment horizontal="center"/>
    </xf>
    <xf numFmtId="167" fontId="14" fillId="0" borderId="19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67" fontId="5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4" fillId="0" borderId="1" xfId="0" applyFont="1" applyBorder="1"/>
    <xf numFmtId="0" fontId="4" fillId="0" borderId="8" xfId="0" applyFont="1" applyBorder="1" applyAlignment="1">
      <alignment horizontal="center"/>
    </xf>
    <xf numFmtId="167" fontId="4" fillId="0" borderId="7" xfId="0" applyNumberFormat="1" applyFont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164" fontId="15" fillId="0" borderId="31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" fontId="15" fillId="0" borderId="3" xfId="0" applyNumberFormat="1" applyFont="1" applyBorder="1" applyAlignment="1">
      <alignment horizontal="center"/>
    </xf>
    <xf numFmtId="0" fontId="15" fillId="0" borderId="25" xfId="0" applyFont="1" applyBorder="1"/>
    <xf numFmtId="0" fontId="15" fillId="0" borderId="26" xfId="0" applyFont="1" applyBorder="1"/>
    <xf numFmtId="164" fontId="15" fillId="0" borderId="32" xfId="0" applyNumberFormat="1" applyFont="1" applyBorder="1" applyAlignment="1">
      <alignment horizontal="center"/>
    </xf>
    <xf numFmtId="167" fontId="15" fillId="0" borderId="2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5" fillId="0" borderId="8" xfId="0" applyFont="1" applyBorder="1"/>
    <xf numFmtId="0" fontId="5" fillId="0" borderId="36" xfId="0" applyFont="1" applyBorder="1"/>
    <xf numFmtId="0" fontId="5" fillId="0" borderId="37" xfId="0" applyFont="1" applyBorder="1"/>
    <xf numFmtId="164" fontId="5" fillId="0" borderId="4" xfId="0" applyNumberFormat="1" applyFont="1" applyBorder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0" fontId="5" fillId="0" borderId="19" xfId="0" applyFont="1" applyBorder="1"/>
    <xf numFmtId="0" fontId="5" fillId="0" borderId="19" xfId="0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5" xfId="0" applyFont="1" applyBorder="1"/>
    <xf numFmtId="165" fontId="5" fillId="0" borderId="5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" fontId="5" fillId="0" borderId="3" xfId="0" quotePrefix="1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5" fillId="0" borderId="25" xfId="0" applyFont="1" applyBorder="1"/>
    <xf numFmtId="0" fontId="5" fillId="0" borderId="26" xfId="0" applyFont="1" applyBorder="1"/>
    <xf numFmtId="165" fontId="5" fillId="0" borderId="32" xfId="0" applyNumberFormat="1" applyFont="1" applyBorder="1" applyAlignment="1">
      <alignment horizontal="center"/>
    </xf>
    <xf numFmtId="165" fontId="5" fillId="0" borderId="23" xfId="0" applyNumberFormat="1" applyFont="1" applyBorder="1" applyAlignment="1">
      <alignment horizontal="center"/>
    </xf>
    <xf numFmtId="164" fontId="5" fillId="0" borderId="32" xfId="0" applyNumberFormat="1" applyFont="1" applyBorder="1" applyAlignment="1">
      <alignment horizontal="center"/>
    </xf>
    <xf numFmtId="0" fontId="16" fillId="0" borderId="0" xfId="0" applyFont="1"/>
    <xf numFmtId="0" fontId="4" fillId="4" borderId="0" xfId="0" applyFont="1" applyFill="1"/>
    <xf numFmtId="0" fontId="5" fillId="4" borderId="0" xfId="0" applyFont="1" applyFill="1"/>
    <xf numFmtId="164" fontId="5" fillId="5" borderId="0" xfId="0" applyNumberFormat="1" applyFont="1" applyFill="1" applyAlignment="1">
      <alignment horizontal="center"/>
    </xf>
    <xf numFmtId="164" fontId="5" fillId="0" borderId="40" xfId="0" applyNumberFormat="1" applyFont="1" applyBorder="1" applyAlignment="1">
      <alignment horizontal="center"/>
    </xf>
    <xf numFmtId="164" fontId="5" fillId="0" borderId="39" xfId="0" applyNumberFormat="1" applyFont="1" applyBorder="1" applyAlignment="1">
      <alignment horizontal="left"/>
    </xf>
    <xf numFmtId="167" fontId="5" fillId="0" borderId="38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4" fontId="14" fillId="0" borderId="0" xfId="0" applyNumberFormat="1" applyFont="1" applyAlignment="1">
      <alignment horizontal="center"/>
    </xf>
    <xf numFmtId="164" fontId="14" fillId="0" borderId="19" xfId="0" applyNumberFormat="1" applyFont="1" applyBorder="1" applyAlignment="1">
      <alignment horizontal="right"/>
    </xf>
    <xf numFmtId="0" fontId="9" fillId="2" borderId="0" xfId="0" applyFont="1" applyFill="1"/>
    <xf numFmtId="14" fontId="5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Continuous"/>
    </xf>
    <xf numFmtId="0" fontId="17" fillId="0" borderId="0" xfId="0" applyFont="1" applyAlignment="1">
      <alignment horizontal="centerContinuous"/>
    </xf>
    <xf numFmtId="0" fontId="18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0" fontId="23" fillId="2" borderId="45" xfId="0" applyFont="1" applyFill="1" applyBorder="1"/>
    <xf numFmtId="0" fontId="23" fillId="2" borderId="46" xfId="0" applyFont="1" applyFill="1" applyBorder="1"/>
    <xf numFmtId="0" fontId="23" fillId="2" borderId="47" xfId="0" applyFont="1" applyFill="1" applyBorder="1"/>
    <xf numFmtId="0" fontId="23" fillId="2" borderId="48" xfId="0" applyFont="1" applyFill="1" applyBorder="1" applyAlignment="1">
      <alignment horizontal="centerContinuous"/>
    </xf>
    <xf numFmtId="0" fontId="23" fillId="2" borderId="49" xfId="0" applyFont="1" applyFill="1" applyBorder="1"/>
    <xf numFmtId="0" fontId="23" fillId="2" borderId="0" xfId="0" applyFont="1" applyFill="1"/>
    <xf numFmtId="0" fontId="23" fillId="2" borderId="50" xfId="0" applyFont="1" applyFill="1" applyBorder="1" applyAlignment="1">
      <alignment horizontal="center"/>
    </xf>
    <xf numFmtId="0" fontId="23" fillId="2" borderId="0" xfId="0" applyFont="1" applyFill="1" applyAlignment="1">
      <alignment horizontal="centerContinuous"/>
    </xf>
    <xf numFmtId="0" fontId="23" fillId="2" borderId="51" xfId="0" applyFont="1" applyFill="1" applyBorder="1" applyAlignment="1">
      <alignment horizontal="centerContinuous"/>
    </xf>
    <xf numFmtId="0" fontId="23" fillId="2" borderId="51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56" xfId="0" applyFont="1" applyFill="1" applyBorder="1" applyAlignment="1">
      <alignment horizontal="center"/>
    </xf>
    <xf numFmtId="0" fontId="23" fillId="2" borderId="52" xfId="0" applyFont="1" applyFill="1" applyBorder="1" applyAlignment="1">
      <alignment horizontal="centerContinuous"/>
    </xf>
    <xf numFmtId="0" fontId="23" fillId="2" borderId="53" xfId="0" applyFont="1" applyFill="1" applyBorder="1"/>
    <xf numFmtId="0" fontId="23" fillId="2" borderId="54" xfId="0" applyFont="1" applyFill="1" applyBorder="1"/>
    <xf numFmtId="0" fontId="23" fillId="2" borderId="55" xfId="0" applyFont="1" applyFill="1" applyBorder="1" applyAlignment="1">
      <alignment horizontal="center"/>
    </xf>
    <xf numFmtId="0" fontId="23" fillId="2" borderId="57" xfId="0" applyFont="1" applyFill="1" applyBorder="1" applyAlignment="1">
      <alignment horizontal="center"/>
    </xf>
    <xf numFmtId="0" fontId="23" fillId="2" borderId="58" xfId="0" applyFont="1" applyFill="1" applyBorder="1" applyAlignment="1">
      <alignment horizontal="center"/>
    </xf>
    <xf numFmtId="0" fontId="24" fillId="2" borderId="54" xfId="0" applyFont="1" applyFill="1" applyBorder="1" applyAlignment="1">
      <alignment horizontal="center"/>
    </xf>
    <xf numFmtId="0" fontId="24" fillId="2" borderId="58" xfId="0" applyFont="1" applyFill="1" applyBorder="1" applyAlignment="1">
      <alignment horizontal="center"/>
    </xf>
    <xf numFmtId="0" fontId="22" fillId="0" borderId="0" xfId="0" applyFont="1"/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164" fontId="22" fillId="2" borderId="0" xfId="0" applyNumberFormat="1" applyFont="1" applyFill="1" applyAlignment="1">
      <alignment horizontal="right"/>
    </xf>
    <xf numFmtId="164" fontId="25" fillId="0" borderId="0" xfId="0" applyNumberFormat="1" applyFont="1"/>
    <xf numFmtId="164" fontId="17" fillId="0" borderId="0" xfId="0" applyNumberFormat="1" applyFont="1"/>
    <xf numFmtId="167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Continuous"/>
    </xf>
    <xf numFmtId="0" fontId="26" fillId="0" borderId="0" xfId="0" applyFont="1" applyAlignment="1">
      <alignment horizontal="right"/>
    </xf>
    <xf numFmtId="164" fontId="28" fillId="0" borderId="64" xfId="0" applyNumberFormat="1" applyFont="1" applyBorder="1" applyAlignment="1">
      <alignment horizontal="right"/>
    </xf>
    <xf numFmtId="167" fontId="28" fillId="0" borderId="65" xfId="0" applyNumberFormat="1" applyFont="1" applyBorder="1" applyAlignment="1">
      <alignment horizontal="right"/>
    </xf>
    <xf numFmtId="167" fontId="28" fillId="0" borderId="66" xfId="0" applyNumberFormat="1" applyFont="1" applyBorder="1" applyAlignment="1">
      <alignment horizontal="right"/>
    </xf>
    <xf numFmtId="167" fontId="28" fillId="0" borderId="67" xfId="0" applyNumberFormat="1" applyFont="1" applyBorder="1" applyAlignment="1">
      <alignment horizontal="right"/>
    </xf>
    <xf numFmtId="167" fontId="27" fillId="2" borderId="5" xfId="0" applyNumberFormat="1" applyFont="1" applyFill="1" applyBorder="1" applyAlignment="1">
      <alignment horizontal="right"/>
    </xf>
    <xf numFmtId="165" fontId="28" fillId="2" borderId="67" xfId="0" applyNumberFormat="1" applyFont="1" applyFill="1" applyBorder="1" applyAlignment="1">
      <alignment horizontal="right"/>
    </xf>
    <xf numFmtId="167" fontId="28" fillId="0" borderId="68" xfId="0" applyNumberFormat="1" applyFont="1" applyBorder="1" applyAlignment="1">
      <alignment horizontal="right"/>
    </xf>
    <xf numFmtId="165" fontId="28" fillId="0" borderId="69" xfId="0" applyNumberFormat="1" applyFont="1" applyBorder="1" applyAlignment="1">
      <alignment horizontal="right"/>
    </xf>
    <xf numFmtId="49" fontId="28" fillId="0" borderId="70" xfId="0" applyNumberFormat="1" applyFont="1" applyBorder="1" applyAlignment="1">
      <alignment horizontal="right"/>
    </xf>
    <xf numFmtId="164" fontId="28" fillId="0" borderId="67" xfId="0" applyNumberFormat="1" applyFont="1" applyBorder="1" applyAlignment="1">
      <alignment horizontal="right"/>
    </xf>
    <xf numFmtId="0" fontId="28" fillId="0" borderId="67" xfId="0" applyFont="1" applyBorder="1" applyAlignment="1">
      <alignment horizontal="right"/>
    </xf>
    <xf numFmtId="167" fontId="28" fillId="0" borderId="55" xfId="0" applyNumberFormat="1" applyFont="1" applyBorder="1" applyAlignment="1">
      <alignment horizontal="right"/>
    </xf>
    <xf numFmtId="164" fontId="28" fillId="0" borderId="53" xfId="0" applyNumberFormat="1" applyFont="1" applyBorder="1" applyAlignment="1">
      <alignment horizontal="right"/>
    </xf>
    <xf numFmtId="167" fontId="27" fillId="2" borderId="71" xfId="0" applyNumberFormat="1" applyFont="1" applyFill="1" applyBorder="1" applyAlignment="1">
      <alignment horizontal="right"/>
    </xf>
    <xf numFmtId="165" fontId="28" fillId="2" borderId="55" xfId="0" applyNumberFormat="1" applyFont="1" applyFill="1" applyBorder="1" applyAlignment="1">
      <alignment horizontal="right"/>
    </xf>
    <xf numFmtId="167" fontId="28" fillId="0" borderId="57" xfId="0" applyNumberFormat="1" applyFont="1" applyBorder="1" applyAlignment="1">
      <alignment horizontal="right"/>
    </xf>
    <xf numFmtId="165" fontId="28" fillId="0" borderId="72" xfId="0" applyNumberFormat="1" applyFont="1" applyBorder="1" applyAlignment="1">
      <alignment horizontal="right"/>
    </xf>
    <xf numFmtId="49" fontId="28" fillId="0" borderId="58" xfId="0" applyNumberFormat="1" applyFont="1" applyBorder="1" applyAlignment="1">
      <alignment horizontal="right"/>
    </xf>
    <xf numFmtId="167" fontId="27" fillId="2" borderId="73" xfId="0" applyNumberFormat="1" applyFont="1" applyFill="1" applyBorder="1" applyAlignment="1">
      <alignment horizontal="right"/>
    </xf>
    <xf numFmtId="167" fontId="27" fillId="2" borderId="74" xfId="0" applyNumberFormat="1" applyFont="1" applyFill="1" applyBorder="1" applyAlignment="1">
      <alignment horizontal="right"/>
    </xf>
    <xf numFmtId="167" fontId="27" fillId="2" borderId="75" xfId="0" applyNumberFormat="1" applyFont="1" applyFill="1" applyBorder="1" applyAlignment="1">
      <alignment horizontal="right"/>
    </xf>
    <xf numFmtId="168" fontId="27" fillId="2" borderId="73" xfId="0" applyNumberFormat="1" applyFont="1" applyFill="1" applyBorder="1" applyAlignment="1">
      <alignment horizontal="right"/>
    </xf>
    <xf numFmtId="167" fontId="27" fillId="2" borderId="76" xfId="0" applyNumberFormat="1" applyFont="1" applyFill="1" applyBorder="1" applyAlignment="1">
      <alignment horizontal="right"/>
    </xf>
    <xf numFmtId="168" fontId="27" fillId="2" borderId="77" xfId="0" applyNumberFormat="1" applyFont="1" applyFill="1" applyBorder="1" applyAlignment="1">
      <alignment horizontal="right"/>
    </xf>
    <xf numFmtId="49" fontId="27" fillId="2" borderId="78" xfId="0" applyNumberFormat="1" applyFont="1" applyFill="1" applyBorder="1" applyAlignment="1">
      <alignment horizontal="right"/>
    </xf>
    <xf numFmtId="0" fontId="28" fillId="0" borderId="79" xfId="0" applyFont="1" applyBorder="1"/>
    <xf numFmtId="49" fontId="27" fillId="0" borderId="80" xfId="0" applyNumberFormat="1" applyFont="1" applyBorder="1" applyAlignment="1">
      <alignment horizontal="center"/>
    </xf>
    <xf numFmtId="164" fontId="28" fillId="0" borderId="82" xfId="0" applyNumberFormat="1" applyFont="1" applyBorder="1" applyAlignment="1">
      <alignment horizontal="right"/>
    </xf>
    <xf numFmtId="0" fontId="28" fillId="0" borderId="0" xfId="0" applyFont="1"/>
    <xf numFmtId="0" fontId="21" fillId="0" borderId="0" xfId="0" applyFont="1" applyAlignment="1">
      <alignment horizontal="left"/>
    </xf>
    <xf numFmtId="0" fontId="4" fillId="0" borderId="42" xfId="0" applyFont="1" applyBorder="1"/>
    <xf numFmtId="0" fontId="4" fillId="0" borderId="42" xfId="0" applyFont="1" applyBorder="1" applyAlignment="1">
      <alignment horizontal="left"/>
    </xf>
    <xf numFmtId="167" fontId="5" fillId="0" borderId="95" xfId="0" applyNumberFormat="1" applyFont="1" applyBorder="1" applyAlignment="1">
      <alignment horizontal="center"/>
    </xf>
    <xf numFmtId="164" fontId="4" fillId="0" borderId="96" xfId="0" applyNumberFormat="1" applyFont="1" applyBorder="1" applyAlignment="1">
      <alignment horizontal="center"/>
    </xf>
    <xf numFmtId="0" fontId="31" fillId="0" borderId="0" xfId="0" applyFont="1"/>
    <xf numFmtId="0" fontId="34" fillId="0" borderId="84" xfId="0" applyFont="1" applyBorder="1" applyAlignment="1">
      <alignment horizontal="center"/>
    </xf>
    <xf numFmtId="167" fontId="27" fillId="2" borderId="59" xfId="0" applyNumberFormat="1" applyFont="1" applyFill="1" applyBorder="1" applyAlignment="1">
      <alignment horizontal="right"/>
    </xf>
    <xf numFmtId="0" fontId="23" fillId="2" borderId="49" xfId="0" applyFont="1" applyFill="1" applyBorder="1" applyAlignment="1">
      <alignment horizontal="center"/>
    </xf>
    <xf numFmtId="0" fontId="23" fillId="2" borderId="53" xfId="0" applyFont="1" applyFill="1" applyBorder="1" applyAlignment="1">
      <alignment horizontal="center"/>
    </xf>
    <xf numFmtId="0" fontId="23" fillId="2" borderId="98" xfId="0" applyFont="1" applyFill="1" applyBorder="1" applyAlignment="1">
      <alignment horizontal="center"/>
    </xf>
    <xf numFmtId="0" fontId="23" fillId="2" borderId="99" xfId="0" applyFont="1" applyFill="1" applyBorder="1" applyAlignment="1">
      <alignment horizontal="center"/>
    </xf>
    <xf numFmtId="164" fontId="28" fillId="0" borderId="100" xfId="0" applyNumberFormat="1" applyFont="1" applyBorder="1" applyAlignment="1">
      <alignment horizontal="right"/>
    </xf>
    <xf numFmtId="164" fontId="28" fillId="0" borderId="33" xfId="0" applyNumberFormat="1" applyFont="1" applyBorder="1" applyAlignment="1">
      <alignment horizontal="right"/>
    </xf>
    <xf numFmtId="164" fontId="28" fillId="0" borderId="101" xfId="0" applyNumberFormat="1" applyFont="1" applyBorder="1" applyAlignment="1">
      <alignment horizontal="right"/>
    </xf>
    <xf numFmtId="167" fontId="27" fillId="2" borderId="102" xfId="0" applyNumberFormat="1" applyFont="1" applyFill="1" applyBorder="1" applyAlignment="1">
      <alignment horizontal="right"/>
    </xf>
    <xf numFmtId="0" fontId="23" fillId="2" borderId="103" xfId="0" applyFont="1" applyFill="1" applyBorder="1" applyAlignment="1">
      <alignment horizontal="center"/>
    </xf>
    <xf numFmtId="167" fontId="28" fillId="0" borderId="104" xfId="0" applyNumberFormat="1" applyFont="1" applyBorder="1" applyAlignment="1">
      <alignment horizontal="right"/>
    </xf>
    <xf numFmtId="167" fontId="28" fillId="0" borderId="105" xfId="0" applyNumberFormat="1" applyFont="1" applyBorder="1" applyAlignment="1">
      <alignment horizontal="right"/>
    </xf>
    <xf numFmtId="167" fontId="27" fillId="2" borderId="106" xfId="0" applyNumberFormat="1" applyFont="1" applyFill="1" applyBorder="1" applyAlignment="1">
      <alignment horizontal="right"/>
    </xf>
    <xf numFmtId="0" fontId="24" fillId="2" borderId="14" xfId="0" applyFont="1" applyFill="1" applyBorder="1" applyAlignment="1">
      <alignment horizontal="center"/>
    </xf>
    <xf numFmtId="0" fontId="24" fillId="2" borderId="20" xfId="0" applyFont="1" applyFill="1" applyBorder="1" applyAlignment="1">
      <alignment horizontal="center"/>
    </xf>
    <xf numFmtId="164" fontId="28" fillId="0" borderId="4" xfId="0" applyNumberFormat="1" applyFont="1" applyBorder="1" applyAlignment="1">
      <alignment horizontal="right"/>
    </xf>
    <xf numFmtId="0" fontId="24" fillId="2" borderId="107" xfId="0" applyFont="1" applyFill="1" applyBorder="1" applyAlignment="1">
      <alignment horizontal="center"/>
    </xf>
    <xf numFmtId="0" fontId="24" fillId="2" borderId="108" xfId="0" applyFont="1" applyFill="1" applyBorder="1" applyAlignment="1">
      <alignment horizontal="center"/>
    </xf>
    <xf numFmtId="0" fontId="24" fillId="2" borderId="103" xfId="0" applyFont="1" applyFill="1" applyBorder="1" applyAlignment="1">
      <alignment horizontal="center"/>
    </xf>
    <xf numFmtId="164" fontId="28" fillId="0" borderId="109" xfId="0" applyNumberFormat="1" applyFont="1" applyBorder="1" applyAlignment="1">
      <alignment horizontal="right"/>
    </xf>
    <xf numFmtId="167" fontId="28" fillId="0" borderId="110" xfId="0" applyNumberFormat="1" applyFont="1" applyBorder="1" applyAlignment="1">
      <alignment horizontal="right"/>
    </xf>
    <xf numFmtId="0" fontId="35" fillId="0" borderId="0" xfId="0" applyFont="1"/>
    <xf numFmtId="0" fontId="24" fillId="2" borderId="7" xfId="0" applyFont="1" applyFill="1" applyBorder="1" applyAlignment="1">
      <alignment horizontal="centerContinuous"/>
    </xf>
    <xf numFmtId="167" fontId="27" fillId="2" borderId="38" xfId="0" applyNumberFormat="1" applyFont="1" applyFill="1" applyBorder="1" applyAlignment="1">
      <alignment horizontal="right"/>
    </xf>
    <xf numFmtId="165" fontId="28" fillId="2" borderId="111" xfId="0" applyNumberFormat="1" applyFont="1" applyFill="1" applyBorder="1" applyAlignment="1">
      <alignment horizontal="right"/>
    </xf>
    <xf numFmtId="165" fontId="28" fillId="0" borderId="112" xfId="0" applyNumberFormat="1" applyFont="1" applyBorder="1" applyAlignment="1">
      <alignment horizontal="right"/>
    </xf>
    <xf numFmtId="0" fontId="17" fillId="0" borderId="52" xfId="0" applyFont="1" applyBorder="1"/>
    <xf numFmtId="0" fontId="22" fillId="2" borderId="48" xfId="0" applyFont="1" applyFill="1" applyBorder="1" applyAlignment="1">
      <alignment horizontal="centerContinuous"/>
    </xf>
    <xf numFmtId="0" fontId="21" fillId="2" borderId="0" xfId="0" applyFont="1" applyFill="1" applyAlignment="1">
      <alignment horizontal="centerContinuous"/>
    </xf>
    <xf numFmtId="0" fontId="22" fillId="2" borderId="51" xfId="0" applyFont="1" applyFill="1" applyBorder="1" applyAlignment="1">
      <alignment horizontal="centerContinuous"/>
    </xf>
    <xf numFmtId="0" fontId="24" fillId="2" borderId="50" xfId="0" applyFont="1" applyFill="1" applyBorder="1" applyAlignment="1">
      <alignment horizontal="center"/>
    </xf>
    <xf numFmtId="0" fontId="21" fillId="2" borderId="45" xfId="0" applyFont="1" applyFill="1" applyBorder="1" applyAlignment="1">
      <alignment horizontal="centerContinuous"/>
    </xf>
    <xf numFmtId="0" fontId="21" fillId="2" borderId="49" xfId="0" applyFont="1" applyFill="1" applyBorder="1" applyAlignment="1">
      <alignment horizontal="centerContinuous"/>
    </xf>
    <xf numFmtId="0" fontId="24" fillId="2" borderId="56" xfId="0" applyFont="1" applyFill="1" applyBorder="1" applyAlignment="1">
      <alignment horizontal="center"/>
    </xf>
    <xf numFmtId="0" fontId="24" fillId="2" borderId="101" xfId="0" applyFont="1" applyFill="1" applyBorder="1" applyAlignment="1">
      <alignment horizontal="center"/>
    </xf>
    <xf numFmtId="164" fontId="31" fillId="0" borderId="0" xfId="0" applyNumberFormat="1" applyFont="1"/>
    <xf numFmtId="14" fontId="17" fillId="0" borderId="0" xfId="0" applyNumberFormat="1" applyFont="1"/>
    <xf numFmtId="1" fontId="4" fillId="0" borderId="2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left"/>
    </xf>
    <xf numFmtId="49" fontId="23" fillId="2" borderId="105" xfId="0" applyNumberFormat="1" applyFont="1" applyFill="1" applyBorder="1" applyAlignment="1">
      <alignment horizontal="center"/>
    </xf>
    <xf numFmtId="164" fontId="27" fillId="2" borderId="62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167" fontId="0" fillId="0" borderId="0" xfId="0" applyNumberFormat="1"/>
    <xf numFmtId="164" fontId="4" fillId="0" borderId="0" xfId="0" applyNumberFormat="1" applyFont="1" applyAlignment="1">
      <alignment horizontal="center"/>
    </xf>
    <xf numFmtId="167" fontId="17" fillId="0" borderId="0" xfId="0" applyNumberFormat="1" applyFont="1"/>
    <xf numFmtId="0" fontId="23" fillId="2" borderId="129" xfId="0" applyFont="1" applyFill="1" applyBorder="1" applyAlignment="1">
      <alignment horizontal="center"/>
    </xf>
    <xf numFmtId="167" fontId="28" fillId="0" borderId="130" xfId="0" applyNumberFormat="1" applyFont="1" applyBorder="1" applyAlignment="1">
      <alignment horizontal="right"/>
    </xf>
    <xf numFmtId="167" fontId="28" fillId="0" borderId="131" xfId="0" applyNumberFormat="1" applyFont="1" applyBorder="1" applyAlignment="1">
      <alignment horizontal="right"/>
    </xf>
    <xf numFmtId="167" fontId="27" fillId="2" borderId="132" xfId="0" applyNumberFormat="1" applyFont="1" applyFill="1" applyBorder="1" applyAlignment="1">
      <alignment horizontal="right"/>
    </xf>
    <xf numFmtId="0" fontId="8" fillId="0" borderId="0" xfId="0" applyFont="1"/>
    <xf numFmtId="0" fontId="22" fillId="2" borderId="58" xfId="0" applyFont="1" applyFill="1" applyBorder="1" applyAlignment="1">
      <alignment horizontal="center"/>
    </xf>
    <xf numFmtId="0" fontId="22" fillId="2" borderId="46" xfId="0" applyFont="1" applyFill="1" applyBorder="1" applyAlignment="1">
      <alignment horizontal="centerContinuous"/>
    </xf>
    <xf numFmtId="0" fontId="22" fillId="2" borderId="0" xfId="0" applyFont="1" applyFill="1" applyAlignment="1">
      <alignment horizontal="centerContinuous"/>
    </xf>
    <xf numFmtId="0" fontId="22" fillId="2" borderId="50" xfId="0" applyFont="1" applyFill="1" applyBorder="1" applyAlignment="1">
      <alignment horizontal="center"/>
    </xf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4" fillId="0" borderId="0" xfId="0" applyNumberFormat="1" applyFont="1"/>
    <xf numFmtId="169" fontId="28" fillId="2" borderId="67" xfId="0" applyNumberFormat="1" applyFont="1" applyFill="1" applyBorder="1" applyAlignment="1">
      <alignment horizontal="right"/>
    </xf>
    <xf numFmtId="164" fontId="10" fillId="0" borderId="0" xfId="0" applyNumberFormat="1" applyFont="1"/>
    <xf numFmtId="164" fontId="7" fillId="0" borderId="0" xfId="0" applyNumberFormat="1" applyFont="1"/>
    <xf numFmtId="0" fontId="36" fillId="0" borderId="0" xfId="0" applyFont="1"/>
    <xf numFmtId="164" fontId="5" fillId="0" borderId="27" xfId="0" applyNumberFormat="1" applyFont="1" applyBorder="1" applyAlignment="1">
      <alignment horizontal="center"/>
    </xf>
    <xf numFmtId="164" fontId="27" fillId="2" borderId="63" xfId="0" applyNumberFormat="1" applyFont="1" applyFill="1" applyBorder="1" applyAlignment="1">
      <alignment horizontal="right"/>
    </xf>
    <xf numFmtId="0" fontId="4" fillId="0" borderId="144" xfId="0" applyFont="1" applyBorder="1" applyAlignment="1">
      <alignment horizontal="center"/>
    </xf>
    <xf numFmtId="167" fontId="4" fillId="0" borderId="145" xfId="0" applyNumberFormat="1" applyFont="1" applyBorder="1" applyAlignment="1">
      <alignment horizontal="center"/>
    </xf>
    <xf numFmtId="0" fontId="4" fillId="0" borderId="145" xfId="0" applyFont="1" applyBorder="1"/>
    <xf numFmtId="0" fontId="4" fillId="0" borderId="146" xfId="0" applyFont="1" applyBorder="1"/>
    <xf numFmtId="0" fontId="13" fillId="7" borderId="2" xfId="0" applyFont="1" applyFill="1" applyBorder="1" applyAlignment="1">
      <alignment horizontal="center"/>
    </xf>
    <xf numFmtId="164" fontId="13" fillId="7" borderId="8" xfId="0" applyNumberFormat="1" applyFont="1" applyFill="1" applyBorder="1" applyAlignment="1">
      <alignment horizontal="center"/>
    </xf>
    <xf numFmtId="167" fontId="5" fillId="7" borderId="24" xfId="0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67" fontId="27" fillId="2" borderId="90" xfId="0" applyNumberFormat="1" applyFont="1" applyFill="1" applyBorder="1" applyAlignment="1">
      <alignment horizontal="right"/>
    </xf>
    <xf numFmtId="49" fontId="28" fillId="0" borderId="91" xfId="0" applyNumberFormat="1" applyFont="1" applyBorder="1" applyAlignment="1">
      <alignment horizontal="right"/>
    </xf>
    <xf numFmtId="2" fontId="14" fillId="0" borderId="19" xfId="0" applyNumberFormat="1" applyFont="1" applyBorder="1" applyAlignment="1">
      <alignment horizontal="right"/>
    </xf>
    <xf numFmtId="164" fontId="14" fillId="6" borderId="19" xfId="0" applyNumberFormat="1" applyFont="1" applyFill="1" applyBorder="1" applyAlignment="1">
      <alignment horizontal="right"/>
    </xf>
    <xf numFmtId="0" fontId="27" fillId="0" borderId="0" xfId="0" applyFont="1"/>
    <xf numFmtId="167" fontId="28" fillId="0" borderId="111" xfId="0" applyNumberFormat="1" applyFont="1" applyBorder="1" applyAlignment="1">
      <alignment horizontal="right"/>
    </xf>
    <xf numFmtId="49" fontId="28" fillId="0" borderId="148" xfId="0" applyNumberFormat="1" applyFont="1" applyBorder="1" applyAlignment="1">
      <alignment horizontal="right"/>
    </xf>
    <xf numFmtId="0" fontId="36" fillId="0" borderId="81" xfId="0" applyFont="1" applyBorder="1" applyAlignment="1">
      <alignment horizontal="left"/>
    </xf>
    <xf numFmtId="0" fontId="36" fillId="0" borderId="83" xfId="0" applyFont="1" applyBorder="1" applyAlignment="1">
      <alignment horizontal="left"/>
    </xf>
    <xf numFmtId="0" fontId="36" fillId="0" borderId="85" xfId="0" applyFont="1" applyBorder="1" applyAlignment="1">
      <alignment horizontal="left"/>
    </xf>
    <xf numFmtId="0" fontId="36" fillId="0" borderId="86" xfId="0" applyFont="1" applyBorder="1" applyAlignment="1">
      <alignment horizontal="left"/>
    </xf>
    <xf numFmtId="0" fontId="38" fillId="2" borderId="60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Continuous"/>
    </xf>
    <xf numFmtId="167" fontId="28" fillId="0" borderId="50" xfId="0" applyNumberFormat="1" applyFont="1" applyBorder="1" applyAlignment="1">
      <alignment horizontal="right"/>
    </xf>
    <xf numFmtId="167" fontId="27" fillId="2" borderId="149" xfId="0" applyNumberFormat="1" applyFont="1" applyFill="1" applyBorder="1" applyAlignment="1">
      <alignment horizontal="right"/>
    </xf>
    <xf numFmtId="49" fontId="27" fillId="2" borderId="150" xfId="0" applyNumberFormat="1" applyFont="1" applyFill="1" applyBorder="1" applyAlignment="1">
      <alignment horizontal="right"/>
    </xf>
    <xf numFmtId="0" fontId="22" fillId="2" borderId="151" xfId="0" applyFont="1" applyFill="1" applyBorder="1" applyAlignment="1">
      <alignment horizontal="center"/>
    </xf>
    <xf numFmtId="167" fontId="28" fillId="0" borderId="152" xfId="0" applyNumberFormat="1" applyFont="1" applyBorder="1" applyAlignment="1">
      <alignment horizontal="right"/>
    </xf>
    <xf numFmtId="167" fontId="28" fillId="0" borderId="4" xfId="0" applyNumberFormat="1" applyFont="1" applyBorder="1" applyAlignment="1">
      <alignment horizontal="right"/>
    </xf>
    <xf numFmtId="167" fontId="28" fillId="0" borderId="92" xfId="0" applyNumberFormat="1" applyFont="1" applyBorder="1" applyAlignment="1">
      <alignment horizontal="right"/>
    </xf>
    <xf numFmtId="0" fontId="23" fillId="2" borderId="22" xfId="0" applyFont="1" applyFill="1" applyBorder="1" applyAlignment="1">
      <alignment horizontal="center"/>
    </xf>
    <xf numFmtId="0" fontId="24" fillId="2" borderId="153" xfId="0" applyFont="1" applyFill="1" applyBorder="1" applyAlignment="1">
      <alignment horizontal="center"/>
    </xf>
    <xf numFmtId="165" fontId="28" fillId="0" borderId="154" xfId="0" applyNumberFormat="1" applyFont="1" applyBorder="1" applyAlignment="1">
      <alignment horizontal="right"/>
    </xf>
    <xf numFmtId="165" fontId="28" fillId="0" borderId="155" xfId="0" applyNumberFormat="1" applyFont="1" applyBorder="1" applyAlignment="1">
      <alignment horizontal="right"/>
    </xf>
    <xf numFmtId="165" fontId="28" fillId="0" borderId="156" xfId="0" applyNumberFormat="1" applyFont="1" applyBorder="1" applyAlignment="1">
      <alignment horizontal="right"/>
    </xf>
    <xf numFmtId="166" fontId="27" fillId="2" borderId="158" xfId="0" applyNumberFormat="1" applyFont="1" applyFill="1" applyBorder="1" applyAlignment="1">
      <alignment horizontal="right"/>
    </xf>
    <xf numFmtId="165" fontId="28" fillId="0" borderId="159" xfId="0" applyNumberFormat="1" applyFont="1" applyBorder="1" applyAlignment="1">
      <alignment horizontal="right"/>
    </xf>
    <xf numFmtId="168" fontId="27" fillId="2" borderId="160" xfId="0" applyNumberFormat="1" applyFont="1" applyFill="1" applyBorder="1" applyAlignment="1">
      <alignment horizontal="right"/>
    </xf>
    <xf numFmtId="0" fontId="23" fillId="2" borderId="6" xfId="0" applyFont="1" applyFill="1" applyBorder="1" applyAlignment="1">
      <alignment horizontal="center"/>
    </xf>
    <xf numFmtId="0" fontId="24" fillId="2" borderId="71" xfId="0" applyFont="1" applyFill="1" applyBorder="1" applyAlignment="1">
      <alignment horizontal="center"/>
    </xf>
    <xf numFmtId="167" fontId="28" fillId="0" borderId="143" xfId="0" applyNumberFormat="1" applyFont="1" applyBorder="1" applyAlignment="1">
      <alignment horizontal="right"/>
    </xf>
    <xf numFmtId="167" fontId="27" fillId="2" borderId="0" xfId="0" applyNumberFormat="1" applyFont="1" applyFill="1" applyAlignment="1">
      <alignment horizontal="right"/>
    </xf>
    <xf numFmtId="166" fontId="27" fillId="2" borderId="0" xfId="0" applyNumberFormat="1" applyFont="1" applyFill="1" applyAlignment="1">
      <alignment horizontal="right"/>
    </xf>
    <xf numFmtId="0" fontId="23" fillId="2" borderId="35" xfId="0" applyFont="1" applyFill="1" applyBorder="1" applyAlignment="1">
      <alignment horizontal="center"/>
    </xf>
    <xf numFmtId="167" fontId="27" fillId="2" borderId="161" xfId="0" applyNumberFormat="1" applyFont="1" applyFill="1" applyBorder="1" applyAlignment="1">
      <alignment horizontal="right"/>
    </xf>
    <xf numFmtId="0" fontId="23" fillId="2" borderId="153" xfId="0" applyFont="1" applyFill="1" applyBorder="1" applyAlignment="1">
      <alignment horizontal="center"/>
    </xf>
    <xf numFmtId="167" fontId="28" fillId="0" borderId="154" xfId="0" applyNumberFormat="1" applyFont="1" applyBorder="1" applyAlignment="1">
      <alignment horizontal="right"/>
    </xf>
    <xf numFmtId="167" fontId="28" fillId="0" borderId="155" xfId="0" applyNumberFormat="1" applyFont="1" applyBorder="1" applyAlignment="1">
      <alignment horizontal="right"/>
    </xf>
    <xf numFmtId="167" fontId="28" fillId="0" borderId="156" xfId="0" applyNumberFormat="1" applyFont="1" applyBorder="1" applyAlignment="1">
      <alignment horizontal="right"/>
    </xf>
    <xf numFmtId="164" fontId="28" fillId="0" borderId="164" xfId="0" applyNumberFormat="1" applyFont="1" applyBorder="1" applyAlignment="1">
      <alignment horizontal="right"/>
    </xf>
    <xf numFmtId="167" fontId="28" fillId="0" borderId="164" xfId="0" applyNumberFormat="1" applyFont="1" applyBorder="1" applyAlignment="1">
      <alignment horizontal="right"/>
    </xf>
    <xf numFmtId="167" fontId="28" fillId="0" borderId="159" xfId="0" applyNumberFormat="1" applyFont="1" applyBorder="1" applyAlignment="1">
      <alignment horizontal="right"/>
    </xf>
    <xf numFmtId="167" fontId="27" fillId="2" borderId="160" xfId="0" applyNumberFormat="1" applyFont="1" applyFill="1" applyBorder="1" applyAlignment="1">
      <alignment horizontal="right"/>
    </xf>
    <xf numFmtId="167" fontId="5" fillId="0" borderId="0" xfId="0" applyNumberFormat="1" applyFont="1"/>
    <xf numFmtId="0" fontId="6" fillId="4" borderId="0" xfId="0" applyFont="1" applyFill="1"/>
    <xf numFmtId="167" fontId="31" fillId="0" borderId="0" xfId="0" applyNumberFormat="1" applyFont="1"/>
    <xf numFmtId="49" fontId="27" fillId="0" borderId="88" xfId="0" applyNumberFormat="1" applyFont="1" applyBorder="1" applyAlignment="1">
      <alignment horizontal="center"/>
    </xf>
    <xf numFmtId="164" fontId="28" fillId="0" borderId="136" xfId="0" applyNumberFormat="1" applyFont="1" applyBorder="1" applyAlignment="1">
      <alignment horizontal="right"/>
    </xf>
    <xf numFmtId="49" fontId="27" fillId="0" borderId="24" xfId="0" applyNumberFormat="1" applyFont="1" applyBorder="1" applyAlignment="1">
      <alignment horizontal="center"/>
    </xf>
    <xf numFmtId="0" fontId="28" fillId="0" borderId="120" xfId="0" applyFont="1" applyBorder="1"/>
    <xf numFmtId="0" fontId="28" fillId="0" borderId="135" xfId="0" applyFont="1" applyBorder="1" applyAlignment="1">
      <alignment horizontal="left"/>
    </xf>
    <xf numFmtId="0" fontId="28" fillId="0" borderId="140" xfId="0" applyFont="1" applyBorder="1" applyAlignment="1">
      <alignment horizontal="left"/>
    </xf>
    <xf numFmtId="0" fontId="28" fillId="0" borderId="44" xfId="0" applyFont="1" applyBorder="1" applyAlignment="1">
      <alignment horizontal="left"/>
    </xf>
    <xf numFmtId="0" fontId="28" fillId="0" borderId="113" xfId="0" applyFont="1" applyBorder="1" applyAlignment="1">
      <alignment horizontal="left"/>
    </xf>
    <xf numFmtId="0" fontId="26" fillId="2" borderId="43" xfId="0" applyFont="1" applyFill="1" applyBorder="1" applyAlignment="1">
      <alignment horizontal="left"/>
    </xf>
    <xf numFmtId="164" fontId="36" fillId="0" borderId="100" xfId="0" applyNumberFormat="1" applyFont="1" applyBorder="1" applyAlignment="1">
      <alignment horizontal="right"/>
    </xf>
    <xf numFmtId="164" fontId="36" fillId="0" borderId="4" xfId="0" applyNumberFormat="1" applyFont="1" applyBorder="1" applyAlignment="1">
      <alignment horizontal="right"/>
    </xf>
    <xf numFmtId="164" fontId="36" fillId="0" borderId="33" xfId="0" applyNumberFormat="1" applyFont="1" applyBorder="1" applyAlignment="1">
      <alignment horizontal="right"/>
    </xf>
    <xf numFmtId="167" fontId="36" fillId="0" borderId="67" xfId="0" applyNumberFormat="1" applyFont="1" applyBorder="1" applyAlignment="1">
      <alignment horizontal="right"/>
    </xf>
    <xf numFmtId="167" fontId="36" fillId="0" borderId="143" xfId="0" applyNumberFormat="1" applyFont="1" applyBorder="1" applyAlignment="1">
      <alignment horizontal="right"/>
    </xf>
    <xf numFmtId="0" fontId="24" fillId="2" borderId="165" xfId="0" applyFont="1" applyFill="1" applyBorder="1" applyAlignment="1">
      <alignment horizontal="center"/>
    </xf>
    <xf numFmtId="0" fontId="24" fillId="2" borderId="166" xfId="0" applyFont="1" applyFill="1" applyBorder="1" applyAlignment="1">
      <alignment horizontal="center"/>
    </xf>
    <xf numFmtId="0" fontId="23" fillId="2" borderId="90" xfId="0" applyFont="1" applyFill="1" applyBorder="1" applyAlignment="1">
      <alignment horizontal="center"/>
    </xf>
    <xf numFmtId="0" fontId="23" fillId="2" borderId="91" xfId="0" applyFont="1" applyFill="1" applyBorder="1" applyAlignment="1">
      <alignment horizontal="center"/>
    </xf>
    <xf numFmtId="167" fontId="36" fillId="0" borderId="111" xfId="0" applyNumberFormat="1" applyFont="1" applyBorder="1" applyAlignment="1">
      <alignment horizontal="right"/>
    </xf>
    <xf numFmtId="49" fontId="36" fillId="0" borderId="70" xfId="0" applyNumberFormat="1" applyFont="1" applyBorder="1" applyAlignment="1">
      <alignment horizontal="right"/>
    </xf>
    <xf numFmtId="167" fontId="36" fillId="0" borderId="92" xfId="0" applyNumberFormat="1" applyFont="1" applyBorder="1" applyAlignment="1">
      <alignment horizontal="right"/>
    </xf>
    <xf numFmtId="167" fontId="38" fillId="2" borderId="167" xfId="0" applyNumberFormat="1" applyFont="1" applyFill="1" applyBorder="1" applyAlignment="1">
      <alignment horizontal="right"/>
    </xf>
    <xf numFmtId="167" fontId="38" fillId="2" borderId="28" xfId="0" applyNumberFormat="1" applyFont="1" applyFill="1" applyBorder="1" applyAlignment="1">
      <alignment horizontal="right"/>
    </xf>
    <xf numFmtId="167" fontId="38" fillId="2" borderId="168" xfId="0" applyNumberFormat="1" applyFont="1" applyFill="1" applyBorder="1" applyAlignment="1">
      <alignment horizontal="right"/>
    </xf>
    <xf numFmtId="168" fontId="38" fillId="2" borderId="160" xfId="0" applyNumberFormat="1" applyFont="1" applyFill="1" applyBorder="1" applyAlignment="1">
      <alignment horizontal="right"/>
    </xf>
    <xf numFmtId="164" fontId="36" fillId="0" borderId="3" xfId="0" applyNumberFormat="1" applyFont="1" applyBorder="1" applyAlignment="1">
      <alignment horizontal="right"/>
    </xf>
    <xf numFmtId="0" fontId="40" fillId="0" borderId="0" xfId="0" applyFont="1"/>
    <xf numFmtId="0" fontId="39" fillId="0" borderId="0" xfId="0" applyFont="1"/>
    <xf numFmtId="0" fontId="27" fillId="0" borderId="0" xfId="0" applyFont="1" applyAlignment="1">
      <alignment horizontal="center"/>
    </xf>
    <xf numFmtId="164" fontId="41" fillId="0" borderId="136" xfId="0" applyNumberFormat="1" applyFont="1" applyBorder="1" applyAlignment="1">
      <alignment horizontal="right"/>
    </xf>
    <xf numFmtId="164" fontId="41" fillId="0" borderId="3" xfId="0" applyNumberFormat="1" applyFont="1" applyBorder="1" applyAlignment="1">
      <alignment horizontal="right"/>
    </xf>
    <xf numFmtId="164" fontId="41" fillId="0" borderId="11" xfId="0" applyNumberFormat="1" applyFont="1" applyBorder="1" applyAlignment="1">
      <alignment horizontal="right"/>
    </xf>
    <xf numFmtId="167" fontId="28" fillId="0" borderId="90" xfId="0" applyNumberFormat="1" applyFont="1" applyBorder="1" applyAlignment="1">
      <alignment horizontal="right"/>
    </xf>
    <xf numFmtId="167" fontId="28" fillId="0" borderId="38" xfId="0" applyNumberFormat="1" applyFont="1" applyBorder="1" applyAlignment="1">
      <alignment horizontal="right"/>
    </xf>
    <xf numFmtId="167" fontId="28" fillId="0" borderId="5" xfId="0" applyNumberFormat="1" applyFont="1" applyBorder="1" applyAlignment="1">
      <alignment horizontal="right"/>
    </xf>
    <xf numFmtId="167" fontId="28" fillId="0" borderId="5" xfId="0" applyNumberFormat="1" applyFont="1" applyBorder="1"/>
    <xf numFmtId="167" fontId="27" fillId="0" borderId="161" xfId="0" applyNumberFormat="1" applyFont="1" applyBorder="1" applyAlignment="1">
      <alignment horizontal="right"/>
    </xf>
    <xf numFmtId="167" fontId="28" fillId="0" borderId="6" xfId="0" applyNumberFormat="1" applyFont="1" applyBorder="1" applyAlignment="1">
      <alignment horizontal="right"/>
    </xf>
    <xf numFmtId="165" fontId="28" fillId="2" borderId="154" xfId="0" applyNumberFormat="1" applyFont="1" applyFill="1" applyBorder="1" applyAlignment="1">
      <alignment horizontal="right"/>
    </xf>
    <xf numFmtId="165" fontId="28" fillId="2" borderId="155" xfId="0" applyNumberFormat="1" applyFont="1" applyFill="1" applyBorder="1" applyAlignment="1">
      <alignment horizontal="right"/>
    </xf>
    <xf numFmtId="165" fontId="28" fillId="2" borderId="156" xfId="0" applyNumberFormat="1" applyFont="1" applyFill="1" applyBorder="1" applyAlignment="1">
      <alignment horizontal="right"/>
    </xf>
    <xf numFmtId="165" fontId="28" fillId="2" borderId="159" xfId="0" applyNumberFormat="1" applyFont="1" applyFill="1" applyBorder="1" applyAlignment="1">
      <alignment horizontal="right"/>
    </xf>
    <xf numFmtId="49" fontId="28" fillId="0" borderId="0" xfId="0" applyNumberFormat="1" applyFont="1" applyAlignment="1">
      <alignment horizontal="right"/>
    </xf>
    <xf numFmtId="167" fontId="27" fillId="2" borderId="168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164" fontId="28" fillId="0" borderId="0" xfId="0" applyNumberFormat="1" applyFont="1" applyAlignment="1">
      <alignment horizontal="right"/>
    </xf>
    <xf numFmtId="167" fontId="27" fillId="0" borderId="0" xfId="0" applyNumberFormat="1" applyFont="1" applyAlignment="1">
      <alignment horizontal="right"/>
    </xf>
    <xf numFmtId="167" fontId="28" fillId="0" borderId="0" xfId="0" applyNumberFormat="1" applyFont="1" applyAlignment="1">
      <alignment horizontal="right"/>
    </xf>
    <xf numFmtId="167" fontId="27" fillId="0" borderId="169" xfId="0" applyNumberFormat="1" applyFont="1" applyBorder="1" applyAlignment="1">
      <alignment horizontal="right"/>
    </xf>
    <xf numFmtId="166" fontId="27" fillId="2" borderId="169" xfId="0" applyNumberFormat="1" applyFont="1" applyFill="1" applyBorder="1" applyAlignment="1">
      <alignment horizontal="right"/>
    </xf>
    <xf numFmtId="164" fontId="28" fillId="0" borderId="170" xfId="0" applyNumberFormat="1" applyFont="1" applyBorder="1" applyAlignment="1">
      <alignment horizontal="right"/>
    </xf>
    <xf numFmtId="0" fontId="17" fillId="0" borderId="42" xfId="0" applyFont="1" applyBorder="1"/>
    <xf numFmtId="167" fontId="28" fillId="0" borderId="171" xfId="0" applyNumberFormat="1" applyFont="1" applyBorder="1" applyAlignment="1">
      <alignment horizontal="right"/>
    </xf>
    <xf numFmtId="165" fontId="28" fillId="2" borderId="171" xfId="0" applyNumberFormat="1" applyFont="1" applyFill="1" applyBorder="1" applyAlignment="1">
      <alignment horizontal="right"/>
    </xf>
    <xf numFmtId="167" fontId="28" fillId="0" borderId="95" xfId="0" applyNumberFormat="1" applyFont="1" applyBorder="1" applyAlignment="1">
      <alignment horizontal="right"/>
    </xf>
    <xf numFmtId="165" fontId="28" fillId="0" borderId="171" xfId="0" applyNumberFormat="1" applyFont="1" applyBorder="1" applyAlignment="1">
      <alignment horizontal="right"/>
    </xf>
    <xf numFmtId="167" fontId="27" fillId="2" borderId="95" xfId="0" applyNumberFormat="1" applyFont="1" applyFill="1" applyBorder="1" applyAlignment="1">
      <alignment horizontal="right"/>
    </xf>
    <xf numFmtId="164" fontId="28" fillId="0" borderId="172" xfId="0" applyNumberFormat="1" applyFont="1" applyBorder="1" applyAlignment="1">
      <alignment horizontal="right"/>
    </xf>
    <xf numFmtId="167" fontId="27" fillId="2" borderId="9" xfId="0" applyNumberFormat="1" applyFont="1" applyFill="1" applyBorder="1" applyAlignment="1">
      <alignment horizontal="right"/>
    </xf>
    <xf numFmtId="165" fontId="28" fillId="2" borderId="173" xfId="0" applyNumberFormat="1" applyFont="1" applyFill="1" applyBorder="1" applyAlignment="1">
      <alignment horizontal="right"/>
    </xf>
    <xf numFmtId="167" fontId="28" fillId="0" borderId="9" xfId="0" applyNumberFormat="1" applyFont="1" applyBorder="1" applyAlignment="1">
      <alignment horizontal="right"/>
    </xf>
    <xf numFmtId="165" fontId="28" fillId="0" borderId="173" xfId="0" applyNumberFormat="1" applyFont="1" applyBorder="1" applyAlignment="1">
      <alignment horizontal="right"/>
    </xf>
    <xf numFmtId="0" fontId="23" fillId="2" borderId="174" xfId="0" applyFont="1" applyFill="1" applyBorder="1" applyAlignment="1">
      <alignment horizontal="center"/>
    </xf>
    <xf numFmtId="0" fontId="23" fillId="2" borderId="175" xfId="0" applyFont="1" applyFill="1" applyBorder="1" applyAlignment="1">
      <alignment horizontal="center"/>
    </xf>
    <xf numFmtId="0" fontId="23" fillId="2" borderId="176" xfId="0" applyFont="1" applyFill="1" applyBorder="1" applyAlignment="1">
      <alignment horizontal="center"/>
    </xf>
    <xf numFmtId="164" fontId="28" fillId="0" borderId="177" xfId="0" applyNumberFormat="1" applyFont="1" applyBorder="1" applyAlignment="1">
      <alignment horizontal="right"/>
    </xf>
    <xf numFmtId="164" fontId="28" fillId="0" borderId="140" xfId="0" applyNumberFormat="1" applyFont="1" applyBorder="1" applyAlignment="1">
      <alignment horizontal="right"/>
    </xf>
    <xf numFmtId="164" fontId="28" fillId="0" borderId="44" xfId="0" applyNumberFormat="1" applyFont="1" applyBorder="1" applyAlignment="1">
      <alignment horizontal="right"/>
    </xf>
    <xf numFmtId="164" fontId="28" fillId="0" borderId="113" xfId="0" applyNumberFormat="1" applyFont="1" applyBorder="1" applyAlignment="1">
      <alignment horizontal="right"/>
    </xf>
    <xf numFmtId="164" fontId="28" fillId="0" borderId="43" xfId="0" applyNumberFormat="1" applyFont="1" applyBorder="1" applyAlignment="1">
      <alignment horizontal="right"/>
    </xf>
    <xf numFmtId="167" fontId="27" fillId="2" borderId="178" xfId="0" applyNumberFormat="1" applyFont="1" applyFill="1" applyBorder="1" applyAlignment="1">
      <alignment horizontal="right"/>
    </xf>
    <xf numFmtId="164" fontId="28" fillId="0" borderId="41" xfId="0" applyNumberFormat="1" applyFont="1" applyBorder="1" applyAlignment="1">
      <alignment horizontal="right"/>
    </xf>
    <xf numFmtId="164" fontId="36" fillId="0" borderId="92" xfId="0" applyNumberFormat="1" applyFont="1" applyBorder="1" applyAlignment="1">
      <alignment horizontal="right"/>
    </xf>
    <xf numFmtId="167" fontId="36" fillId="0" borderId="61" xfId="0" applyNumberFormat="1" applyFont="1" applyBorder="1" applyAlignment="1">
      <alignment horizontal="right"/>
    </xf>
    <xf numFmtId="167" fontId="36" fillId="0" borderId="152" xfId="0" applyNumberFormat="1" applyFont="1" applyBorder="1" applyAlignment="1">
      <alignment horizontal="right"/>
    </xf>
    <xf numFmtId="0" fontId="28" fillId="0" borderId="107" xfId="0" applyFont="1" applyBorder="1"/>
    <xf numFmtId="0" fontId="26" fillId="2" borderId="180" xfId="0" applyFont="1" applyFill="1" applyBorder="1" applyAlignment="1">
      <alignment horizontal="left"/>
    </xf>
    <xf numFmtId="0" fontId="23" fillId="2" borderId="71" xfId="0" applyFont="1" applyFill="1" applyBorder="1" applyAlignment="1">
      <alignment horizontal="center"/>
    </xf>
    <xf numFmtId="0" fontId="23" fillId="2" borderId="113" xfId="0" applyFont="1" applyFill="1" applyBorder="1" applyAlignment="1">
      <alignment horizontal="center"/>
    </xf>
    <xf numFmtId="0" fontId="23" fillId="2" borderId="182" xfId="0" applyFont="1" applyFill="1" applyBorder="1" applyAlignment="1">
      <alignment horizontal="center"/>
    </xf>
    <xf numFmtId="0" fontId="23" fillId="2" borderId="177" xfId="0" applyFont="1" applyFill="1" applyBorder="1" applyAlignment="1">
      <alignment horizontal="center"/>
    </xf>
    <xf numFmtId="164" fontId="36" fillId="0" borderId="140" xfId="0" applyNumberFormat="1" applyFont="1" applyBorder="1" applyAlignment="1">
      <alignment horizontal="right"/>
    </xf>
    <xf numFmtId="164" fontId="36" fillId="0" borderId="44" xfId="0" applyNumberFormat="1" applyFont="1" applyBorder="1" applyAlignment="1">
      <alignment horizontal="right"/>
    </xf>
    <xf numFmtId="167" fontId="36" fillId="0" borderId="43" xfId="0" applyNumberFormat="1" applyFont="1" applyBorder="1" applyAlignment="1">
      <alignment horizontal="right"/>
    </xf>
    <xf numFmtId="0" fontId="23" fillId="2" borderId="30" xfId="0" applyFont="1" applyFill="1" applyBorder="1" applyAlignment="1">
      <alignment horizontal="center"/>
    </xf>
    <xf numFmtId="49" fontId="23" fillId="2" borderId="162" xfId="0" applyNumberFormat="1" applyFont="1" applyFill="1" applyBorder="1" applyAlignment="1">
      <alignment horizontal="center"/>
    </xf>
    <xf numFmtId="167" fontId="36" fillId="0" borderId="87" xfId="0" applyNumberFormat="1" applyFont="1" applyBorder="1" applyAlignment="1">
      <alignment horizontal="right"/>
    </xf>
    <xf numFmtId="167" fontId="36" fillId="0" borderId="123" xfId="0" applyNumberFormat="1" applyFont="1" applyBorder="1" applyAlignment="1">
      <alignment horizontal="right"/>
    </xf>
    <xf numFmtId="167" fontId="28" fillId="0" borderId="87" xfId="0" applyNumberFormat="1" applyFont="1" applyBorder="1" applyAlignment="1">
      <alignment horizontal="right"/>
    </xf>
    <xf numFmtId="167" fontId="28" fillId="0" borderId="123" xfId="0" applyNumberFormat="1" applyFont="1" applyBorder="1" applyAlignment="1">
      <alignment horizontal="right"/>
    </xf>
    <xf numFmtId="167" fontId="36" fillId="0" borderId="38" xfId="0" applyNumberFormat="1" applyFont="1" applyBorder="1" applyAlignment="1">
      <alignment horizontal="right"/>
    </xf>
    <xf numFmtId="167" fontId="36" fillId="0" borderId="5" xfId="0" applyNumberFormat="1" applyFont="1" applyBorder="1" applyAlignment="1">
      <alignment horizontal="right"/>
    </xf>
    <xf numFmtId="167" fontId="38" fillId="0" borderId="161" xfId="0" applyNumberFormat="1" applyFont="1" applyBorder="1" applyAlignment="1">
      <alignment horizontal="right"/>
    </xf>
    <xf numFmtId="0" fontId="23" fillId="2" borderId="183" xfId="0" applyFont="1" applyFill="1" applyBorder="1" applyAlignment="1">
      <alignment horizontal="center"/>
    </xf>
    <xf numFmtId="0" fontId="23" fillId="2" borderId="184" xfId="0" applyFont="1" applyFill="1" applyBorder="1" applyAlignment="1">
      <alignment horizontal="center"/>
    </xf>
    <xf numFmtId="0" fontId="23" fillId="2" borderId="185" xfId="0" applyFont="1" applyFill="1" applyBorder="1" applyAlignment="1">
      <alignment horizontal="center"/>
    </xf>
    <xf numFmtId="0" fontId="24" fillId="2" borderId="186" xfId="0" applyFont="1" applyFill="1" applyBorder="1" applyAlignment="1">
      <alignment horizontal="center"/>
    </xf>
    <xf numFmtId="167" fontId="38" fillId="2" borderId="187" xfId="0" applyNumberFormat="1" applyFont="1" applyFill="1" applyBorder="1" applyAlignment="1">
      <alignment horizontal="right"/>
    </xf>
    <xf numFmtId="165" fontId="36" fillId="2" borderId="155" xfId="0" applyNumberFormat="1" applyFont="1" applyFill="1" applyBorder="1" applyAlignment="1">
      <alignment horizontal="right"/>
    </xf>
    <xf numFmtId="167" fontId="38" fillId="2" borderId="188" xfId="0" applyNumberFormat="1" applyFont="1" applyFill="1" applyBorder="1" applyAlignment="1">
      <alignment horizontal="right"/>
    </xf>
    <xf numFmtId="165" fontId="36" fillId="2" borderId="156" xfId="0" applyNumberFormat="1" applyFont="1" applyFill="1" applyBorder="1" applyAlignment="1">
      <alignment horizontal="right"/>
    </xf>
    <xf numFmtId="167" fontId="38" fillId="0" borderId="189" xfId="0" applyNumberFormat="1" applyFont="1" applyBorder="1" applyAlignment="1">
      <alignment horizontal="right"/>
    </xf>
    <xf numFmtId="165" fontId="38" fillId="2" borderId="164" xfId="0" applyNumberFormat="1" applyFont="1" applyFill="1" applyBorder="1" applyAlignment="1">
      <alignment horizontal="right"/>
    </xf>
    <xf numFmtId="167" fontId="27" fillId="2" borderId="187" xfId="0" applyNumberFormat="1" applyFont="1" applyFill="1" applyBorder="1" applyAlignment="1">
      <alignment horizontal="right"/>
    </xf>
    <xf numFmtId="169" fontId="36" fillId="2" borderId="156" xfId="0" applyNumberFormat="1" applyFont="1" applyFill="1" applyBorder="1" applyAlignment="1">
      <alignment horizontal="right"/>
    </xf>
    <xf numFmtId="167" fontId="27" fillId="2" borderId="188" xfId="0" applyNumberFormat="1" applyFont="1" applyFill="1" applyBorder="1" applyAlignment="1">
      <alignment horizontal="right"/>
    </xf>
    <xf numFmtId="0" fontId="21" fillId="2" borderId="46" xfId="0" applyFont="1" applyFill="1" applyBorder="1" applyAlignment="1">
      <alignment horizontal="centerContinuous"/>
    </xf>
    <xf numFmtId="0" fontId="23" fillId="2" borderId="190" xfId="0" applyFont="1" applyFill="1" applyBorder="1" applyAlignment="1">
      <alignment horizontal="center"/>
    </xf>
    <xf numFmtId="0" fontId="23" fillId="2" borderId="152" xfId="0" applyFont="1" applyFill="1" applyBorder="1" applyAlignment="1">
      <alignment horizontal="center"/>
    </xf>
    <xf numFmtId="167" fontId="36" fillId="0" borderId="4" xfId="0" applyNumberFormat="1" applyFont="1" applyBorder="1" applyAlignment="1">
      <alignment horizontal="right"/>
    </xf>
    <xf numFmtId="165" fontId="36" fillId="0" borderId="155" xfId="0" applyNumberFormat="1" applyFont="1" applyBorder="1" applyAlignment="1">
      <alignment horizontal="right"/>
    </xf>
    <xf numFmtId="165" fontId="36" fillId="0" borderId="156" xfId="0" applyNumberFormat="1" applyFont="1" applyBorder="1" applyAlignment="1">
      <alignment horizontal="right"/>
    </xf>
    <xf numFmtId="165" fontId="38" fillId="0" borderId="158" xfId="0" applyNumberFormat="1" applyFont="1" applyBorder="1" applyAlignment="1">
      <alignment horizontal="right"/>
    </xf>
    <xf numFmtId="167" fontId="36" fillId="0" borderId="193" xfId="0" applyNumberFormat="1" applyFont="1" applyBorder="1" applyAlignment="1">
      <alignment horizontal="right"/>
    </xf>
    <xf numFmtId="167" fontId="36" fillId="0" borderId="185" xfId="0" applyNumberFormat="1" applyFont="1" applyBorder="1" applyAlignment="1">
      <alignment horizontal="right"/>
    </xf>
    <xf numFmtId="165" fontId="36" fillId="0" borderId="154" xfId="0" applyNumberFormat="1" applyFont="1" applyBorder="1" applyAlignment="1">
      <alignment horizontal="right"/>
    </xf>
    <xf numFmtId="167" fontId="36" fillId="0" borderId="188" xfId="0" applyNumberFormat="1" applyFont="1" applyBorder="1" applyAlignment="1">
      <alignment horizontal="right"/>
    </xf>
    <xf numFmtId="167" fontId="36" fillId="0" borderId="191" xfId="0" applyNumberFormat="1" applyFont="1" applyBorder="1" applyAlignment="1">
      <alignment horizontal="right"/>
    </xf>
    <xf numFmtId="167" fontId="38" fillId="2" borderId="197" xfId="0" applyNumberFormat="1" applyFont="1" applyFill="1" applyBorder="1" applyAlignment="1">
      <alignment horizontal="right"/>
    </xf>
    <xf numFmtId="0" fontId="42" fillId="0" borderId="89" xfId="0" applyFont="1" applyBorder="1" applyAlignment="1">
      <alignment horizontal="left"/>
    </xf>
    <xf numFmtId="0" fontId="43" fillId="0" borderId="200" xfId="0" applyFont="1" applyBorder="1" applyAlignment="1">
      <alignment horizontal="left"/>
    </xf>
    <xf numFmtId="0" fontId="38" fillId="0" borderId="90" xfId="0" applyFont="1" applyBorder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left"/>
    </xf>
    <xf numFmtId="0" fontId="22" fillId="2" borderId="22" xfId="0" applyFont="1" applyFill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7" fillId="2" borderId="0" xfId="0" applyFont="1" applyFill="1" applyAlignment="1">
      <alignment horizontal="centerContinuous"/>
    </xf>
    <xf numFmtId="0" fontId="28" fillId="2" borderId="51" xfId="0" applyFont="1" applyFill="1" applyBorder="1" applyAlignment="1">
      <alignment horizontal="centerContinuous"/>
    </xf>
    <xf numFmtId="0" fontId="28" fillId="2" borderId="0" xfId="0" applyFont="1" applyFill="1" applyAlignment="1">
      <alignment horizontal="centerContinuous"/>
    </xf>
    <xf numFmtId="0" fontId="27" fillId="2" borderId="120" xfId="0" applyFont="1" applyFill="1" applyBorder="1" applyAlignment="1">
      <alignment horizontal="center"/>
    </xf>
    <xf numFmtId="0" fontId="27" fillId="2" borderId="50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0" fontId="21" fillId="2" borderId="20" xfId="0" applyFont="1" applyFill="1" applyBorder="1" applyAlignment="1">
      <alignment horizontal="center"/>
    </xf>
    <xf numFmtId="0" fontId="21" fillId="2" borderId="30" xfId="0" applyFont="1" applyFill="1" applyBorder="1" applyAlignment="1">
      <alignment horizontal="center"/>
    </xf>
    <xf numFmtId="0" fontId="22" fillId="2" borderId="30" xfId="0" applyFont="1" applyFill="1" applyBorder="1" applyAlignment="1">
      <alignment horizontal="center"/>
    </xf>
    <xf numFmtId="0" fontId="28" fillId="0" borderId="0" xfId="0" applyFont="1" applyAlignment="1">
      <alignment horizontal="centerContinuous"/>
    </xf>
    <xf numFmtId="0" fontId="41" fillId="0" borderId="201" xfId="0" applyFont="1" applyBorder="1" applyAlignment="1">
      <alignment horizontal="left"/>
    </xf>
    <xf numFmtId="0" fontId="41" fillId="0" borderId="109" xfId="0" applyFont="1" applyBorder="1" applyAlignment="1">
      <alignment horizontal="left"/>
    </xf>
    <xf numFmtId="0" fontId="41" fillId="0" borderId="64" xfId="0" applyFont="1" applyBorder="1" applyAlignment="1">
      <alignment horizontal="left"/>
    </xf>
    <xf numFmtId="0" fontId="41" fillId="0" borderId="49" xfId="0" applyFont="1" applyBorder="1" applyAlignment="1">
      <alignment horizontal="left"/>
    </xf>
    <xf numFmtId="167" fontId="38" fillId="2" borderId="139" xfId="0" applyNumberFormat="1" applyFont="1" applyFill="1" applyBorder="1" applyAlignment="1">
      <alignment horizontal="right"/>
    </xf>
    <xf numFmtId="164" fontId="36" fillId="0" borderId="67" xfId="0" applyNumberFormat="1" applyFont="1" applyBorder="1" applyAlignment="1">
      <alignment horizontal="right"/>
    </xf>
    <xf numFmtId="164" fontId="27" fillId="0" borderId="0" xfId="0" applyNumberFormat="1" applyFont="1"/>
    <xf numFmtId="14" fontId="28" fillId="0" borderId="0" xfId="0" applyNumberFormat="1" applyFont="1"/>
    <xf numFmtId="164" fontId="15" fillId="0" borderId="0" xfId="0" applyNumberFormat="1" applyFont="1" applyAlignment="1">
      <alignment horizontal="center"/>
    </xf>
    <xf numFmtId="167" fontId="15" fillId="0" borderId="0" xfId="0" applyNumberFormat="1" applyFont="1" applyAlignment="1">
      <alignment horizontal="center"/>
    </xf>
    <xf numFmtId="165" fontId="27" fillId="0" borderId="0" xfId="0" applyNumberFormat="1" applyFont="1"/>
    <xf numFmtId="167" fontId="12" fillId="0" borderId="0" xfId="0" applyNumberFormat="1" applyFont="1"/>
    <xf numFmtId="167" fontId="27" fillId="2" borderId="202" xfId="0" applyNumberFormat="1" applyFont="1" applyFill="1" applyBorder="1" applyAlignment="1">
      <alignment horizontal="right"/>
    </xf>
    <xf numFmtId="167" fontId="36" fillId="2" borderId="143" xfId="0" applyNumberFormat="1" applyFont="1" applyFill="1" applyBorder="1" applyAlignment="1">
      <alignment horizontal="right"/>
    </xf>
    <xf numFmtId="164" fontId="5" fillId="0" borderId="30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9" fontId="27" fillId="0" borderId="25" xfId="0" applyNumberFormat="1" applyFont="1" applyBorder="1" applyAlignment="1">
      <alignment horizontal="center"/>
    </xf>
    <xf numFmtId="164" fontId="36" fillId="0" borderId="87" xfId="0" applyNumberFormat="1" applyFont="1" applyBorder="1" applyAlignment="1">
      <alignment horizontal="right"/>
    </xf>
    <xf numFmtId="167" fontId="4" fillId="0" borderId="30" xfId="0" applyNumberFormat="1" applyFont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3" fontId="5" fillId="0" borderId="38" xfId="0" applyNumberFormat="1" applyFont="1" applyBorder="1" applyAlignment="1">
      <alignment horizontal="center"/>
    </xf>
    <xf numFmtId="164" fontId="9" fillId="0" borderId="0" xfId="0" applyNumberFormat="1" applyFont="1"/>
    <xf numFmtId="14" fontId="45" fillId="0" borderId="0" xfId="0" applyNumberFormat="1" applyFont="1"/>
    <xf numFmtId="0" fontId="45" fillId="0" borderId="0" xfId="0" applyFont="1"/>
    <xf numFmtId="0" fontId="38" fillId="0" borderId="0" xfId="0" applyFont="1" applyAlignment="1">
      <alignment horizontal="center"/>
    </xf>
    <xf numFmtId="167" fontId="38" fillId="2" borderId="0" xfId="0" applyNumberFormat="1" applyFont="1" applyFill="1" applyAlignment="1">
      <alignment horizontal="right"/>
    </xf>
    <xf numFmtId="168" fontId="38" fillId="2" borderId="0" xfId="0" applyNumberFormat="1" applyFont="1" applyFill="1" applyAlignment="1">
      <alignment horizontal="right"/>
    </xf>
    <xf numFmtId="49" fontId="38" fillId="2" borderId="0" xfId="0" applyNumberFormat="1" applyFont="1" applyFill="1" applyAlignment="1">
      <alignment horizontal="right"/>
    </xf>
    <xf numFmtId="167" fontId="22" fillId="0" borderId="0" xfId="0" applyNumberFormat="1" applyFont="1"/>
    <xf numFmtId="0" fontId="10" fillId="9" borderId="0" xfId="0" applyFont="1" applyFill="1"/>
    <xf numFmtId="165" fontId="36" fillId="0" borderId="192" xfId="0" applyNumberFormat="1" applyFont="1" applyBorder="1" applyAlignment="1">
      <alignment horizontal="right"/>
    </xf>
    <xf numFmtId="167" fontId="5" fillId="10" borderId="38" xfId="0" applyNumberFormat="1" applyFont="1" applyFill="1" applyBorder="1" applyAlignment="1">
      <alignment horizontal="center"/>
    </xf>
    <xf numFmtId="14" fontId="21" fillId="0" borderId="0" xfId="0" applyNumberFormat="1" applyFont="1" applyAlignment="1">
      <alignment horizontal="center"/>
    </xf>
    <xf numFmtId="164" fontId="36" fillId="0" borderId="148" xfId="0" applyNumberFormat="1" applyFont="1" applyBorder="1" applyAlignment="1">
      <alignment horizontal="right"/>
    </xf>
    <xf numFmtId="164" fontId="38" fillId="2" borderId="221" xfId="0" applyNumberFormat="1" applyFont="1" applyFill="1" applyBorder="1" applyAlignment="1">
      <alignment horizontal="right"/>
    </xf>
    <xf numFmtId="164" fontId="38" fillId="2" borderId="181" xfId="0" applyNumberFormat="1" applyFont="1" applyFill="1" applyBorder="1" applyAlignment="1">
      <alignment horizontal="right"/>
    </xf>
    <xf numFmtId="164" fontId="5" fillId="0" borderId="20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28" fillId="2" borderId="7" xfId="0" applyFont="1" applyFill="1" applyBorder="1" applyAlignment="1">
      <alignment horizontal="centerContinuous"/>
    </xf>
    <xf numFmtId="0" fontId="4" fillId="0" borderId="20" xfId="0" applyFont="1" applyBorder="1"/>
    <xf numFmtId="167" fontId="14" fillId="0" borderId="20" xfId="0" applyNumberFormat="1" applyFont="1" applyBorder="1" applyAlignment="1">
      <alignment horizontal="center"/>
    </xf>
    <xf numFmtId="167" fontId="4" fillId="0" borderId="24" xfId="0" applyNumberFormat="1" applyFont="1" applyBorder="1" applyAlignment="1">
      <alignment horizontal="center"/>
    </xf>
    <xf numFmtId="167" fontId="4" fillId="0" borderId="80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0" fontId="4" fillId="0" borderId="118" xfId="0" applyFont="1" applyBorder="1"/>
    <xf numFmtId="0" fontId="4" fillId="0" borderId="122" xfId="0" applyFont="1" applyBorder="1"/>
    <xf numFmtId="49" fontId="4" fillId="0" borderId="7" xfId="0" applyNumberFormat="1" applyFont="1" applyBorder="1"/>
    <xf numFmtId="167" fontId="14" fillId="11" borderId="0" xfId="0" applyNumberFormat="1" applyFont="1" applyFill="1" applyAlignment="1">
      <alignment horizontal="center"/>
    </xf>
    <xf numFmtId="167" fontId="28" fillId="0" borderId="61" xfId="0" applyNumberFormat="1" applyFont="1" applyBorder="1" applyAlignment="1">
      <alignment horizontal="right"/>
    </xf>
    <xf numFmtId="167" fontId="28" fillId="0" borderId="93" xfId="0" applyNumberFormat="1" applyFont="1" applyBorder="1" applyAlignment="1">
      <alignment horizontal="right"/>
    </xf>
    <xf numFmtId="167" fontId="28" fillId="2" borderId="199" xfId="0" applyNumberFormat="1" applyFont="1" applyFill="1" applyBorder="1" applyAlignment="1">
      <alignment horizontal="right"/>
    </xf>
    <xf numFmtId="167" fontId="36" fillId="0" borderId="50" xfId="0" applyNumberFormat="1" applyFont="1" applyBorder="1" applyAlignment="1">
      <alignment horizontal="right"/>
    </xf>
    <xf numFmtId="164" fontId="36" fillId="0" borderId="113" xfId="0" applyNumberFormat="1" applyFont="1" applyBorder="1" applyAlignment="1">
      <alignment horizontal="right"/>
    </xf>
    <xf numFmtId="164" fontId="36" fillId="0" borderId="99" xfId="0" applyNumberFormat="1" applyFont="1" applyBorder="1" applyAlignment="1">
      <alignment horizontal="right"/>
    </xf>
    <xf numFmtId="164" fontId="36" fillId="0" borderId="20" xfId="0" applyNumberFormat="1" applyFont="1" applyBorder="1" applyAlignment="1">
      <alignment horizontal="right"/>
    </xf>
    <xf numFmtId="167" fontId="36" fillId="0" borderId="30" xfId="0" applyNumberFormat="1" applyFont="1" applyBorder="1" applyAlignment="1">
      <alignment horizontal="right"/>
    </xf>
    <xf numFmtId="167" fontId="38" fillId="2" borderId="183" xfId="0" applyNumberFormat="1" applyFont="1" applyFill="1" applyBorder="1" applyAlignment="1">
      <alignment horizontal="right"/>
    </xf>
    <xf numFmtId="165" fontId="36" fillId="2" borderId="159" xfId="0" applyNumberFormat="1" applyFont="1" applyFill="1" applyBorder="1" applyAlignment="1">
      <alignment horizontal="right"/>
    </xf>
    <xf numFmtId="167" fontId="36" fillId="0" borderId="6" xfId="0" applyNumberFormat="1" applyFont="1" applyBorder="1" applyAlignment="1">
      <alignment horizontal="right"/>
    </xf>
    <xf numFmtId="165" fontId="36" fillId="0" borderId="159" xfId="0" applyNumberFormat="1" applyFont="1" applyBorder="1" applyAlignment="1">
      <alignment horizontal="right"/>
    </xf>
    <xf numFmtId="167" fontId="28" fillId="0" borderId="203" xfId="0" applyNumberFormat="1" applyFont="1" applyBorder="1" applyAlignment="1">
      <alignment horizontal="right"/>
    </xf>
    <xf numFmtId="167" fontId="14" fillId="0" borderId="222" xfId="0" applyNumberFormat="1" applyFont="1" applyBorder="1" applyAlignment="1">
      <alignment horizontal="center"/>
    </xf>
    <xf numFmtId="164" fontId="14" fillId="0" borderId="15" xfId="0" applyNumberFormat="1" applyFont="1" applyBorder="1" applyAlignment="1">
      <alignment horizontal="center"/>
    </xf>
    <xf numFmtId="164" fontId="14" fillId="0" borderId="20" xfId="0" applyNumberFormat="1" applyFont="1" applyBorder="1" applyAlignment="1">
      <alignment horizontal="right"/>
    </xf>
    <xf numFmtId="164" fontId="27" fillId="2" borderId="61" xfId="0" applyNumberFormat="1" applyFont="1" applyFill="1" applyBorder="1" applyAlignment="1">
      <alignment horizontal="right"/>
    </xf>
    <xf numFmtId="167" fontId="19" fillId="0" borderId="0" xfId="0" applyNumberFormat="1" applyFont="1"/>
    <xf numFmtId="2" fontId="49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right"/>
    </xf>
    <xf numFmtId="164" fontId="14" fillId="0" borderId="19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right"/>
    </xf>
    <xf numFmtId="49" fontId="4" fillId="0" borderId="0" xfId="0" applyNumberFormat="1" applyFont="1"/>
    <xf numFmtId="167" fontId="5" fillId="3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167" fontId="28" fillId="0" borderId="223" xfId="0" applyNumberFormat="1" applyFont="1" applyBorder="1" applyAlignment="1">
      <alignment horizontal="right"/>
    </xf>
    <xf numFmtId="167" fontId="28" fillId="0" borderId="224" xfId="0" applyNumberFormat="1" applyFont="1" applyBorder="1" applyAlignment="1">
      <alignment horizontal="right"/>
    </xf>
    <xf numFmtId="167" fontId="28" fillId="0" borderId="225" xfId="0" applyNumberFormat="1" applyFont="1" applyBorder="1" applyAlignment="1">
      <alignment horizontal="right"/>
    </xf>
    <xf numFmtId="164" fontId="5" fillId="0" borderId="27" xfId="0" applyNumberFormat="1" applyFont="1" applyBorder="1" applyAlignment="1">
      <alignment horizontal="right"/>
    </xf>
    <xf numFmtId="167" fontId="5" fillId="0" borderId="38" xfId="0" applyNumberFormat="1" applyFont="1" applyBorder="1" applyAlignment="1">
      <alignment horizontal="right"/>
    </xf>
    <xf numFmtId="167" fontId="5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6" fillId="12" borderId="0" xfId="0" applyFont="1" applyFill="1"/>
    <xf numFmtId="164" fontId="13" fillId="7" borderId="19" xfId="0" applyNumberFormat="1" applyFont="1" applyFill="1" applyBorder="1" applyAlignment="1">
      <alignment horizontal="center"/>
    </xf>
    <xf numFmtId="165" fontId="50" fillId="0" borderId="5" xfId="0" applyNumberFormat="1" applyFont="1" applyBorder="1" applyAlignment="1">
      <alignment horizontal="center"/>
    </xf>
    <xf numFmtId="171" fontId="28" fillId="0" borderId="226" xfId="0" applyNumberFormat="1" applyFont="1" applyBorder="1" applyAlignment="1">
      <alignment horizontal="right"/>
    </xf>
    <xf numFmtId="171" fontId="28" fillId="0" borderId="117" xfId="0" applyNumberFormat="1" applyFont="1" applyBorder="1" applyAlignment="1">
      <alignment horizontal="right"/>
    </xf>
    <xf numFmtId="171" fontId="28" fillId="0" borderId="128" xfId="0" applyNumberFormat="1" applyFont="1" applyBorder="1" applyAlignment="1">
      <alignment horizontal="right"/>
    </xf>
    <xf numFmtId="2" fontId="27" fillId="2" borderId="61" xfId="0" applyNumberFormat="1" applyFont="1" applyFill="1" applyBorder="1" applyAlignment="1">
      <alignment horizontal="right"/>
    </xf>
    <xf numFmtId="49" fontId="23" fillId="2" borderId="103" xfId="0" applyNumberFormat="1" applyFont="1" applyFill="1" applyBorder="1" applyAlignment="1">
      <alignment horizontal="center"/>
    </xf>
    <xf numFmtId="49" fontId="22" fillId="2" borderId="30" xfId="0" applyNumberFormat="1" applyFont="1" applyFill="1" applyBorder="1" applyAlignment="1">
      <alignment horizontal="center"/>
    </xf>
    <xf numFmtId="2" fontId="28" fillId="0" borderId="148" xfId="0" applyNumberFormat="1" applyFont="1" applyBorder="1" applyAlignment="1">
      <alignment horizontal="right"/>
    </xf>
    <xf numFmtId="167" fontId="36" fillId="0" borderId="138" xfId="0" applyNumberFormat="1" applyFont="1" applyBorder="1" applyAlignment="1">
      <alignment horizontal="right"/>
    </xf>
    <xf numFmtId="2" fontId="28" fillId="0" borderId="51" xfId="0" applyNumberFormat="1" applyFont="1" applyBorder="1" applyAlignment="1">
      <alignment horizontal="right"/>
    </xf>
    <xf numFmtId="167" fontId="36" fillId="0" borderId="232" xfId="0" applyNumberFormat="1" applyFont="1" applyBorder="1" applyAlignment="1">
      <alignment horizontal="right"/>
    </xf>
    <xf numFmtId="165" fontId="36" fillId="0" borderId="157" xfId="0" applyNumberFormat="1" applyFont="1" applyBorder="1" applyAlignment="1">
      <alignment horizontal="right"/>
    </xf>
    <xf numFmtId="167" fontId="36" fillId="0" borderId="93" xfId="0" applyNumberFormat="1" applyFont="1" applyBorder="1" applyAlignment="1">
      <alignment horizontal="right"/>
    </xf>
    <xf numFmtId="49" fontId="36" fillId="0" borderId="227" xfId="0" applyNumberFormat="1" applyFont="1" applyBorder="1" applyAlignment="1">
      <alignment horizontal="right"/>
    </xf>
    <xf numFmtId="2" fontId="36" fillId="0" borderId="227" xfId="0" applyNumberFormat="1" applyFont="1" applyBorder="1" applyAlignment="1">
      <alignment horizontal="right"/>
    </xf>
    <xf numFmtId="2" fontId="17" fillId="0" borderId="0" xfId="0" applyNumberFormat="1" applyFont="1"/>
    <xf numFmtId="49" fontId="28" fillId="0" borderId="233" xfId="0" applyNumberFormat="1" applyFont="1" applyBorder="1" applyAlignment="1">
      <alignment horizontal="right"/>
    </xf>
    <xf numFmtId="2" fontId="28" fillId="0" borderId="104" xfId="0" applyNumberFormat="1" applyFont="1" applyBorder="1" applyAlignment="1">
      <alignment horizontal="right"/>
    </xf>
    <xf numFmtId="167" fontId="27" fillId="2" borderId="232" xfId="0" applyNumberFormat="1" applyFont="1" applyFill="1" applyBorder="1" applyAlignment="1">
      <alignment horizontal="right"/>
    </xf>
    <xf numFmtId="2" fontId="28" fillId="0" borderId="234" xfId="0" applyNumberFormat="1" applyFont="1" applyBorder="1" applyAlignment="1">
      <alignment horizontal="right"/>
    </xf>
    <xf numFmtId="2" fontId="28" fillId="0" borderId="235" xfId="0" applyNumberFormat="1" applyFont="1" applyBorder="1" applyAlignment="1">
      <alignment horizontal="right"/>
    </xf>
    <xf numFmtId="167" fontId="27" fillId="2" borderId="139" xfId="0" applyNumberFormat="1" applyFont="1" applyFill="1" applyBorder="1" applyAlignment="1">
      <alignment horizontal="right"/>
    </xf>
    <xf numFmtId="167" fontId="5" fillId="13" borderId="24" xfId="0" applyNumberFormat="1" applyFont="1" applyFill="1" applyBorder="1" applyAlignment="1">
      <alignment horizontal="center"/>
    </xf>
    <xf numFmtId="164" fontId="28" fillId="0" borderId="125" xfId="0" applyNumberFormat="1" applyFont="1" applyBorder="1" applyAlignment="1">
      <alignment horizontal="right"/>
    </xf>
    <xf numFmtId="164" fontId="50" fillId="0" borderId="33" xfId="0" applyNumberFormat="1" applyFont="1" applyBorder="1" applyAlignment="1">
      <alignment horizontal="center"/>
    </xf>
    <xf numFmtId="167" fontId="50" fillId="0" borderId="38" xfId="0" applyNumberFormat="1" applyFont="1" applyBorder="1" applyAlignment="1">
      <alignment horizontal="center"/>
    </xf>
    <xf numFmtId="167" fontId="50" fillId="0" borderId="33" xfId="0" applyNumberFormat="1" applyFont="1" applyBorder="1" applyAlignment="1">
      <alignment horizontal="center"/>
    </xf>
    <xf numFmtId="164" fontId="50" fillId="0" borderId="5" xfId="0" applyNumberFormat="1" applyFont="1" applyBorder="1" applyAlignment="1">
      <alignment horizontal="right"/>
    </xf>
    <xf numFmtId="164" fontId="38" fillId="0" borderId="0" xfId="0" applyNumberFormat="1" applyFont="1" applyAlignment="1">
      <alignment horizontal="left"/>
    </xf>
    <xf numFmtId="4" fontId="49" fillId="0" borderId="19" xfId="0" applyNumberFormat="1" applyFont="1" applyBorder="1" applyAlignment="1">
      <alignment horizontal="center"/>
    </xf>
    <xf numFmtId="167" fontId="5" fillId="0" borderId="92" xfId="0" applyNumberFormat="1" applyFont="1" applyBorder="1" applyAlignment="1">
      <alignment horizontal="center"/>
    </xf>
    <xf numFmtId="172" fontId="4" fillId="0" borderId="0" xfId="0" applyNumberFormat="1" applyFont="1"/>
    <xf numFmtId="0" fontId="24" fillId="2" borderId="175" xfId="0" applyFont="1" applyFill="1" applyBorder="1" applyAlignment="1">
      <alignment horizontal="center"/>
    </xf>
    <xf numFmtId="0" fontId="27" fillId="0" borderId="49" xfId="0" applyFont="1" applyBorder="1" applyAlignment="1">
      <alignment horizontal="center"/>
    </xf>
    <xf numFmtId="167" fontId="36" fillId="2" borderId="43" xfId="0" applyNumberFormat="1" applyFont="1" applyFill="1" applyBorder="1" applyAlignment="1">
      <alignment horizontal="right"/>
    </xf>
    <xf numFmtId="167" fontId="36" fillId="2" borderId="141" xfId="0" applyNumberFormat="1" applyFont="1" applyFill="1" applyBorder="1" applyAlignment="1">
      <alignment horizontal="right"/>
    </xf>
    <xf numFmtId="167" fontId="36" fillId="2" borderId="61" xfId="0" applyNumberFormat="1" applyFont="1" applyFill="1" applyBorder="1" applyAlignment="1">
      <alignment horizontal="right"/>
    </xf>
    <xf numFmtId="167" fontId="36" fillId="2" borderId="116" xfId="0" applyNumberFormat="1" applyFont="1" applyFill="1" applyBorder="1" applyAlignment="1">
      <alignment horizontal="right"/>
    </xf>
    <xf numFmtId="167" fontId="38" fillId="2" borderId="199" xfId="0" applyNumberFormat="1" applyFont="1" applyFill="1" applyBorder="1" applyAlignment="1">
      <alignment horizontal="right"/>
    </xf>
    <xf numFmtId="167" fontId="38" fillId="2" borderId="161" xfId="0" applyNumberFormat="1" applyFont="1" applyFill="1" applyBorder="1" applyAlignment="1">
      <alignment horizontal="right"/>
    </xf>
    <xf numFmtId="167" fontId="36" fillId="2" borderId="161" xfId="0" applyNumberFormat="1" applyFont="1" applyFill="1" applyBorder="1" applyAlignment="1">
      <alignment horizontal="right"/>
    </xf>
    <xf numFmtId="0" fontId="4" fillId="0" borderId="24" xfId="0" applyFont="1" applyBorder="1" applyAlignment="1">
      <alignment horizontal="center"/>
    </xf>
    <xf numFmtId="167" fontId="5" fillId="8" borderId="24" xfId="0" applyNumberFormat="1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 wrapText="1"/>
    </xf>
    <xf numFmtId="0" fontId="9" fillId="0" borderId="2" xfId="0" applyFont="1" applyBorder="1"/>
    <xf numFmtId="0" fontId="9" fillId="0" borderId="8" xfId="0" applyFont="1" applyBorder="1"/>
    <xf numFmtId="0" fontId="4" fillId="0" borderId="19" xfId="0" applyFont="1" applyBorder="1" applyAlignment="1">
      <alignment horizontal="center" vertical="top"/>
    </xf>
    <xf numFmtId="0" fontId="4" fillId="13" borderId="8" xfId="0" applyFont="1" applyFill="1" applyBorder="1" applyAlignment="1">
      <alignment horizontal="center" wrapText="1"/>
    </xf>
    <xf numFmtId="2" fontId="49" fillId="0" borderId="19" xfId="0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167" fontId="5" fillId="0" borderId="24" xfId="0" applyNumberFormat="1" applyFont="1" applyBorder="1" applyAlignment="1">
      <alignment horizontal="center"/>
    </xf>
    <xf numFmtId="164" fontId="49" fillId="0" borderId="30" xfId="0" applyNumberFormat="1" applyFont="1" applyBorder="1" applyAlignment="1">
      <alignment horizontal="center"/>
    </xf>
    <xf numFmtId="1" fontId="49" fillId="0" borderId="30" xfId="0" applyNumberFormat="1" applyFont="1" applyBorder="1" applyAlignment="1">
      <alignment horizontal="center"/>
    </xf>
    <xf numFmtId="167" fontId="5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4" fontId="49" fillId="8" borderId="19" xfId="0" applyNumberFormat="1" applyFont="1" applyFill="1" applyBorder="1" applyAlignment="1">
      <alignment horizontal="center"/>
    </xf>
    <xf numFmtId="164" fontId="5" fillId="0" borderId="30" xfId="0" applyNumberFormat="1" applyFont="1" applyBorder="1"/>
    <xf numFmtId="4" fontId="49" fillId="8" borderId="24" xfId="0" applyNumberFormat="1" applyFont="1" applyFill="1" applyBorder="1" applyAlignment="1">
      <alignment horizontal="center"/>
    </xf>
    <xf numFmtId="2" fontId="48" fillId="0" borderId="0" xfId="0" applyNumberFormat="1" applyFont="1" applyAlignment="1">
      <alignment horizontal="center"/>
    </xf>
    <xf numFmtId="4" fontId="48" fillId="0" borderId="19" xfId="0" applyNumberFormat="1" applyFont="1" applyBorder="1" applyAlignment="1">
      <alignment horizontal="center"/>
    </xf>
    <xf numFmtId="4" fontId="48" fillId="0" borderId="0" xfId="0" applyNumberFormat="1" applyFont="1" applyAlignment="1">
      <alignment horizontal="center"/>
    </xf>
    <xf numFmtId="4" fontId="51" fillId="0" borderId="19" xfId="0" applyNumberFormat="1" applyFont="1" applyBorder="1" applyAlignment="1">
      <alignment horizontal="center"/>
    </xf>
    <xf numFmtId="164" fontId="48" fillId="0" borderId="19" xfId="0" applyNumberFormat="1" applyFont="1" applyBorder="1" applyAlignment="1">
      <alignment horizontal="center"/>
    </xf>
    <xf numFmtId="4" fontId="48" fillId="0" borderId="30" xfId="0" applyNumberFormat="1" applyFont="1" applyBorder="1" applyAlignment="1">
      <alignment horizontal="center"/>
    </xf>
    <xf numFmtId="167" fontId="48" fillId="0" borderId="30" xfId="0" applyNumberFormat="1" applyFont="1" applyBorder="1" applyAlignment="1">
      <alignment horizontal="center"/>
    </xf>
    <xf numFmtId="167" fontId="38" fillId="2" borderId="241" xfId="0" applyNumberFormat="1" applyFont="1" applyFill="1" applyBorder="1" applyAlignment="1">
      <alignment horizontal="right"/>
    </xf>
    <xf numFmtId="49" fontId="28" fillId="0" borderId="179" xfId="0" applyNumberFormat="1" applyFont="1" applyBorder="1" applyAlignment="1">
      <alignment horizontal="right"/>
    </xf>
    <xf numFmtId="0" fontId="49" fillId="0" borderId="19" xfId="0" applyFont="1" applyBorder="1" applyAlignment="1">
      <alignment horizontal="center"/>
    </xf>
    <xf numFmtId="4" fontId="51" fillId="8" borderId="19" xfId="0" applyNumberFormat="1" applyFont="1" applyFill="1" applyBorder="1" applyAlignment="1">
      <alignment horizontal="center"/>
    </xf>
    <xf numFmtId="2" fontId="51" fillId="8" borderId="0" xfId="0" applyNumberFormat="1" applyFont="1" applyFill="1" applyAlignment="1">
      <alignment horizontal="center"/>
    </xf>
    <xf numFmtId="4" fontId="51" fillId="8" borderId="0" xfId="0" applyNumberFormat="1" applyFont="1" applyFill="1" applyAlignment="1">
      <alignment horizontal="center"/>
    </xf>
    <xf numFmtId="2" fontId="51" fillId="0" borderId="0" xfId="0" applyNumberFormat="1" applyFont="1" applyAlignment="1">
      <alignment horizontal="center"/>
    </xf>
    <xf numFmtId="167" fontId="51" fillId="0" borderId="122" xfId="0" applyNumberFormat="1" applyFont="1" applyBorder="1" applyAlignment="1">
      <alignment horizontal="center"/>
    </xf>
    <xf numFmtId="167" fontId="48" fillId="0" borderId="20" xfId="0" applyNumberFormat="1" applyFont="1" applyBorder="1" applyAlignment="1">
      <alignment horizontal="center"/>
    </xf>
    <xf numFmtId="49" fontId="28" fillId="0" borderId="227" xfId="0" applyNumberFormat="1" applyFont="1" applyBorder="1" applyAlignment="1">
      <alignment horizontal="right"/>
    </xf>
    <xf numFmtId="4" fontId="14" fillId="0" borderId="30" xfId="0" applyNumberFormat="1" applyFont="1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167" fontId="5" fillId="0" borderId="33" xfId="0" applyNumberFormat="1" applyFont="1" applyBorder="1" applyAlignment="1">
      <alignment horizontal="center"/>
    </xf>
    <xf numFmtId="165" fontId="5" fillId="0" borderId="37" xfId="0" applyNumberFormat="1" applyFont="1" applyBorder="1" applyAlignment="1">
      <alignment horizontal="center"/>
    </xf>
    <xf numFmtId="0" fontId="52" fillId="0" borderId="0" xfId="0" applyFont="1"/>
    <xf numFmtId="0" fontId="54" fillId="2" borderId="45" xfId="0" applyFont="1" applyFill="1" applyBorder="1"/>
    <xf numFmtId="0" fontId="54" fillId="2" borderId="46" xfId="0" applyFont="1" applyFill="1" applyBorder="1"/>
    <xf numFmtId="0" fontId="54" fillId="2" borderId="47" xfId="0" applyFont="1" applyFill="1" applyBorder="1"/>
    <xf numFmtId="0" fontId="57" fillId="2" borderId="46" xfId="0" applyFont="1" applyFill="1" applyBorder="1" applyAlignment="1">
      <alignment horizontal="centerContinuous"/>
    </xf>
    <xf numFmtId="0" fontId="54" fillId="2" borderId="48" xfId="0" applyFont="1" applyFill="1" applyBorder="1" applyAlignment="1">
      <alignment horizontal="centerContinuous"/>
    </xf>
    <xf numFmtId="0" fontId="54" fillId="2" borderId="49" xfId="0" applyFont="1" applyFill="1" applyBorder="1"/>
    <xf numFmtId="0" fontId="54" fillId="2" borderId="0" xfId="0" applyFont="1" applyFill="1"/>
    <xf numFmtId="0" fontId="56" fillId="2" borderId="50" xfId="0" applyFont="1" applyFill="1" applyBorder="1" applyAlignment="1">
      <alignment horizontal="center"/>
    </xf>
    <xf numFmtId="0" fontId="57" fillId="2" borderId="0" xfId="0" applyFont="1" applyFill="1" applyAlignment="1">
      <alignment horizontal="centerContinuous"/>
    </xf>
    <xf numFmtId="0" fontId="54" fillId="2" borderId="51" xfId="0" applyFont="1" applyFill="1" applyBorder="1" applyAlignment="1">
      <alignment horizontal="centerContinuous"/>
    </xf>
    <xf numFmtId="0" fontId="54" fillId="2" borderId="5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244" xfId="0" applyFont="1" applyFill="1" applyBorder="1" applyAlignment="1">
      <alignment horizontal="center"/>
    </xf>
    <xf numFmtId="0" fontId="16" fillId="2" borderId="20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/>
    </xf>
    <xf numFmtId="0" fontId="54" fillId="2" borderId="0" xfId="0" applyFont="1" applyFill="1" applyAlignment="1">
      <alignment horizontal="centerContinuous"/>
    </xf>
    <xf numFmtId="0" fontId="16" fillId="2" borderId="96" xfId="0" applyFont="1" applyFill="1" applyBorder="1" applyAlignment="1">
      <alignment horizontal="center"/>
    </xf>
    <xf numFmtId="0" fontId="16" fillId="2" borderId="183" xfId="0" applyFont="1" applyFill="1" applyBorder="1" applyAlignment="1">
      <alignment horizontal="center"/>
    </xf>
    <xf numFmtId="0" fontId="56" fillId="2" borderId="245" xfId="0" applyFont="1" applyFill="1" applyBorder="1" applyAlignment="1">
      <alignment horizontal="center"/>
    </xf>
    <xf numFmtId="0" fontId="56" fillId="2" borderId="159" xfId="0" applyFont="1" applyFill="1" applyBorder="1" applyAlignment="1">
      <alignment horizontal="center"/>
    </xf>
    <xf numFmtId="0" fontId="57" fillId="2" borderId="7" xfId="0" applyFont="1" applyFill="1" applyBorder="1" applyAlignment="1">
      <alignment horizontal="centerContinuous"/>
    </xf>
    <xf numFmtId="0" fontId="54" fillId="2" borderId="52" xfId="0" applyFont="1" applyFill="1" applyBorder="1" applyAlignment="1">
      <alignment horizontal="centerContinuous"/>
    </xf>
    <xf numFmtId="0" fontId="54" fillId="2" borderId="53" xfId="0" applyFont="1" applyFill="1" applyBorder="1"/>
    <xf numFmtId="0" fontId="54" fillId="2" borderId="54" xfId="0" applyFont="1" applyFill="1" applyBorder="1"/>
    <xf numFmtId="0" fontId="54" fillId="2" borderId="55" xfId="0" applyFont="1" applyFill="1" applyBorder="1" applyAlignment="1">
      <alignment horizontal="center"/>
    </xf>
    <xf numFmtId="0" fontId="16" fillId="2" borderId="246" xfId="0" applyFont="1" applyFill="1" applyBorder="1" applyAlignment="1">
      <alignment horizontal="center"/>
    </xf>
    <xf numFmtId="49" fontId="16" fillId="2" borderId="54" xfId="0" applyNumberFormat="1" applyFont="1" applyFill="1" applyBorder="1" applyAlignment="1">
      <alignment horizontal="center"/>
    </xf>
    <xf numFmtId="0" fontId="56" fillId="2" borderId="184" xfId="0" applyFont="1" applyFill="1" applyBorder="1" applyAlignment="1">
      <alignment horizontal="center"/>
    </xf>
    <xf numFmtId="0" fontId="58" fillId="0" borderId="247" xfId="0" applyFont="1" applyBorder="1"/>
    <xf numFmtId="0" fontId="56" fillId="2" borderId="71" xfId="0" applyFont="1" applyFill="1" applyBorder="1" applyAlignment="1">
      <alignment horizontal="center"/>
    </xf>
    <xf numFmtId="0" fontId="58" fillId="0" borderId="153" xfId="0" applyFont="1" applyBorder="1"/>
    <xf numFmtId="0" fontId="16" fillId="2" borderId="151" xfId="0" applyFont="1" applyFill="1" applyBorder="1" applyAlignment="1">
      <alignment horizontal="center"/>
    </xf>
    <xf numFmtId="0" fontId="16" fillId="2" borderId="58" xfId="0" applyFont="1" applyFill="1" applyBorder="1" applyAlignment="1">
      <alignment horizontal="center"/>
    </xf>
    <xf numFmtId="164" fontId="28" fillId="0" borderId="162" xfId="0" applyNumberFormat="1" applyFont="1" applyBorder="1" applyAlignment="1">
      <alignment horizontal="right"/>
    </xf>
    <xf numFmtId="167" fontId="27" fillId="2" borderId="185" xfId="0" applyNumberFormat="1" applyFont="1" applyFill="1" applyBorder="1" applyAlignment="1">
      <alignment horizontal="right"/>
    </xf>
    <xf numFmtId="165" fontId="28" fillId="2" borderId="65" xfId="0" applyNumberFormat="1" applyFont="1" applyFill="1" applyBorder="1" applyAlignment="1">
      <alignment horizontal="right"/>
    </xf>
    <xf numFmtId="167" fontId="28" fillId="0" borderId="249" xfId="0" applyNumberFormat="1" applyFont="1" applyBorder="1" applyAlignment="1">
      <alignment horizontal="right"/>
    </xf>
    <xf numFmtId="164" fontId="28" fillId="0" borderId="87" xfId="0" applyNumberFormat="1" applyFont="1" applyBorder="1" applyAlignment="1">
      <alignment horizontal="right"/>
    </xf>
    <xf numFmtId="167" fontId="28" fillId="0" borderId="250" xfId="0" applyNumberFormat="1" applyFont="1" applyBorder="1" applyAlignment="1">
      <alignment horizontal="right"/>
    </xf>
    <xf numFmtId="167" fontId="22" fillId="0" borderId="104" xfId="0" applyNumberFormat="1" applyFont="1" applyBorder="1" applyAlignment="1">
      <alignment horizontal="right"/>
    </xf>
    <xf numFmtId="164" fontId="28" fillId="0" borderId="123" xfId="0" applyNumberFormat="1" applyFont="1" applyBorder="1" applyAlignment="1">
      <alignment horizontal="right"/>
    </xf>
    <xf numFmtId="167" fontId="28" fillId="0" borderId="251" xfId="0" applyNumberFormat="1" applyFont="1" applyBorder="1" applyAlignment="1">
      <alignment horizontal="right"/>
    </xf>
    <xf numFmtId="49" fontId="22" fillId="0" borderId="148" xfId="0" applyNumberFormat="1" applyFont="1" applyBorder="1" applyAlignment="1">
      <alignment horizontal="right"/>
    </xf>
    <xf numFmtId="49" fontId="22" fillId="0" borderId="70" xfId="0" applyNumberFormat="1" applyFont="1" applyBorder="1" applyAlignment="1">
      <alignment horizontal="right"/>
    </xf>
    <xf numFmtId="167" fontId="28" fillId="0" borderId="251" xfId="0" applyNumberFormat="1" applyFont="1" applyBorder="1"/>
    <xf numFmtId="167" fontId="28" fillId="0" borderId="142" xfId="0" applyNumberFormat="1" applyFont="1" applyBorder="1" applyAlignment="1">
      <alignment horizontal="right"/>
    </xf>
    <xf numFmtId="164" fontId="28" fillId="0" borderId="163" xfId="0" applyNumberFormat="1" applyFont="1" applyBorder="1" applyAlignment="1">
      <alignment horizontal="right"/>
    </xf>
    <xf numFmtId="167" fontId="27" fillId="2" borderId="198" xfId="0" applyNumberFormat="1" applyFont="1" applyFill="1" applyBorder="1" applyAlignment="1">
      <alignment horizontal="right"/>
    </xf>
    <xf numFmtId="165" fontId="28" fillId="2" borderId="142" xfId="0" applyNumberFormat="1" applyFont="1" applyFill="1" applyBorder="1" applyAlignment="1">
      <alignment horizontal="right"/>
    </xf>
    <xf numFmtId="167" fontId="28" fillId="0" borderId="252" xfId="0" applyNumberFormat="1" applyFont="1" applyBorder="1" applyAlignment="1">
      <alignment horizontal="right"/>
    </xf>
    <xf numFmtId="165" fontId="28" fillId="0" borderId="157" xfId="0" applyNumberFormat="1" applyFont="1" applyBorder="1" applyAlignment="1">
      <alignment horizontal="right"/>
    </xf>
    <xf numFmtId="167" fontId="28" fillId="0" borderId="247" xfId="0" applyNumberFormat="1" applyFont="1" applyBorder="1" applyAlignment="1">
      <alignment horizontal="right"/>
    </xf>
    <xf numFmtId="49" fontId="22" fillId="0" borderId="58" xfId="0" applyNumberFormat="1" applyFont="1" applyBorder="1" applyAlignment="1">
      <alignment horizontal="right"/>
    </xf>
    <xf numFmtId="164" fontId="28" fillId="0" borderId="116" xfId="0" applyNumberFormat="1" applyFont="1" applyBorder="1" applyAlignment="1">
      <alignment horizontal="right"/>
    </xf>
    <xf numFmtId="164" fontId="28" fillId="0" borderId="143" xfId="0" applyNumberFormat="1" applyFont="1" applyBorder="1" applyAlignment="1">
      <alignment horizontal="right"/>
    </xf>
    <xf numFmtId="167" fontId="27" fillId="2" borderId="199" xfId="0" applyNumberFormat="1" applyFont="1" applyFill="1" applyBorder="1" applyAlignment="1">
      <alignment horizontal="right"/>
    </xf>
    <xf numFmtId="166" fontId="27" fillId="2" borderId="138" xfId="0" applyNumberFormat="1" applyFont="1" applyFill="1" applyBorder="1" applyAlignment="1">
      <alignment horizontal="right"/>
    </xf>
    <xf numFmtId="167" fontId="27" fillId="0" borderId="253" xfId="0" applyNumberFormat="1" applyFont="1" applyBorder="1" applyAlignment="1">
      <alignment horizontal="right"/>
    </xf>
    <xf numFmtId="49" fontId="28" fillId="0" borderId="254" xfId="0" applyNumberFormat="1" applyFont="1" applyBorder="1" applyAlignment="1">
      <alignment horizontal="right"/>
    </xf>
    <xf numFmtId="49" fontId="22" fillId="0" borderId="254" xfId="0" applyNumberFormat="1" applyFont="1" applyBorder="1" applyAlignment="1">
      <alignment horizontal="right"/>
    </xf>
    <xf numFmtId="0" fontId="17" fillId="0" borderId="126" xfId="0" applyFont="1" applyBorder="1"/>
    <xf numFmtId="164" fontId="28" fillId="0" borderId="256" xfId="0" applyNumberFormat="1" applyFont="1" applyBorder="1" applyAlignment="1">
      <alignment horizontal="right"/>
    </xf>
    <xf numFmtId="167" fontId="28" fillId="0" borderId="257" xfId="0" applyNumberFormat="1" applyFont="1" applyBorder="1" applyAlignment="1">
      <alignment horizontal="right"/>
    </xf>
    <xf numFmtId="167" fontId="27" fillId="2" borderId="183" xfId="0" applyNumberFormat="1" applyFont="1" applyFill="1" applyBorder="1" applyAlignment="1">
      <alignment horizontal="right"/>
    </xf>
    <xf numFmtId="165" fontId="28" fillId="2" borderId="50" xfId="0" applyNumberFormat="1" applyFont="1" applyFill="1" applyBorder="1" applyAlignment="1">
      <alignment horizontal="right"/>
    </xf>
    <xf numFmtId="167" fontId="28" fillId="0" borderId="96" xfId="0" applyNumberFormat="1" applyFont="1" applyBorder="1" applyAlignment="1">
      <alignment horizontal="right"/>
    </xf>
    <xf numFmtId="49" fontId="36" fillId="0" borderId="258" xfId="0" applyNumberFormat="1" applyFont="1" applyBorder="1" applyAlignment="1">
      <alignment horizontal="right"/>
    </xf>
    <xf numFmtId="0" fontId="28" fillId="0" borderId="259" xfId="0" applyFont="1" applyBorder="1" applyAlignment="1">
      <alignment horizontal="right"/>
    </xf>
    <xf numFmtId="164" fontId="28" fillId="0" borderId="260" xfId="0" applyNumberFormat="1" applyFont="1" applyBorder="1" applyAlignment="1">
      <alignment horizontal="right"/>
    </xf>
    <xf numFmtId="49" fontId="22" fillId="0" borderId="258" xfId="0" applyNumberFormat="1" applyFont="1" applyBorder="1" applyAlignment="1">
      <alignment horizontal="right"/>
    </xf>
    <xf numFmtId="49" fontId="22" fillId="2" borderId="62" xfId="0" applyNumberFormat="1" applyFont="1" applyFill="1" applyBorder="1" applyAlignment="1">
      <alignment horizontal="right"/>
    </xf>
    <xf numFmtId="167" fontId="27" fillId="2" borderId="147" xfId="0" applyNumberFormat="1" applyFont="1" applyFill="1" applyBorder="1" applyAlignment="1">
      <alignment horizontal="right"/>
    </xf>
    <xf numFmtId="167" fontId="27" fillId="2" borderId="261" xfId="0" applyNumberFormat="1" applyFont="1" applyFill="1" applyBorder="1" applyAlignment="1">
      <alignment horizontal="right"/>
    </xf>
    <xf numFmtId="166" fontId="27" fillId="2" borderId="167" xfId="0" applyNumberFormat="1" applyFont="1" applyFill="1" applyBorder="1" applyAlignment="1">
      <alignment horizontal="right"/>
    </xf>
    <xf numFmtId="167" fontId="27" fillId="2" borderId="55" xfId="0" applyNumberFormat="1" applyFont="1" applyFill="1" applyBorder="1" applyAlignment="1">
      <alignment horizontal="right"/>
    </xf>
    <xf numFmtId="167" fontId="27" fillId="2" borderId="53" xfId="0" applyNumberFormat="1" applyFont="1" applyFill="1" applyBorder="1" applyAlignment="1">
      <alignment horizontal="right"/>
    </xf>
    <xf numFmtId="167" fontId="27" fillId="2" borderId="72" xfId="0" applyNumberFormat="1" applyFont="1" applyFill="1" applyBorder="1" applyAlignment="1">
      <alignment horizontal="right"/>
    </xf>
    <xf numFmtId="168" fontId="27" fillId="2" borderId="55" xfId="0" applyNumberFormat="1" applyFont="1" applyFill="1" applyBorder="1" applyAlignment="1">
      <alignment horizontal="right"/>
    </xf>
    <xf numFmtId="167" fontId="27" fillId="2" borderId="57" xfId="0" applyNumberFormat="1" applyFont="1" applyFill="1" applyBorder="1" applyAlignment="1">
      <alignment horizontal="right"/>
    </xf>
    <xf numFmtId="168" fontId="27" fillId="2" borderId="72" xfId="0" applyNumberFormat="1" applyFont="1" applyFill="1" applyBorder="1" applyAlignment="1">
      <alignment horizontal="right"/>
    </xf>
    <xf numFmtId="166" fontId="27" fillId="2" borderId="57" xfId="0" applyNumberFormat="1" applyFont="1" applyFill="1" applyBorder="1" applyAlignment="1">
      <alignment horizontal="right"/>
    </xf>
    <xf numFmtId="49" fontId="27" fillId="2" borderId="58" xfId="0" applyNumberFormat="1" applyFont="1" applyFill="1" applyBorder="1" applyAlignment="1">
      <alignment horizontal="right"/>
    </xf>
    <xf numFmtId="0" fontId="59" fillId="0" borderId="0" xfId="0" applyFont="1"/>
    <xf numFmtId="168" fontId="27" fillId="2" borderId="0" xfId="0" applyNumberFormat="1" applyFont="1" applyFill="1" applyAlignment="1">
      <alignment horizontal="right"/>
    </xf>
    <xf numFmtId="49" fontId="27" fillId="2" borderId="0" xfId="0" applyNumberFormat="1" applyFont="1" applyFill="1" applyAlignment="1">
      <alignment horizontal="right"/>
    </xf>
    <xf numFmtId="0" fontId="36" fillId="0" borderId="79" xfId="0" applyFont="1" applyBorder="1" applyAlignment="1">
      <alignment horizontal="left"/>
    </xf>
    <xf numFmtId="2" fontId="28" fillId="0" borderId="82" xfId="0" applyNumberFormat="1" applyFont="1" applyBorder="1" applyAlignment="1">
      <alignment horizontal="right"/>
    </xf>
    <xf numFmtId="0" fontId="36" fillId="2" borderId="60" xfId="0" applyFont="1" applyFill="1" applyBorder="1" applyAlignment="1">
      <alignment horizontal="center"/>
    </xf>
    <xf numFmtId="2" fontId="27" fillId="2" borderId="62" xfId="0" applyNumberFormat="1" applyFont="1" applyFill="1" applyBorder="1" applyAlignment="1">
      <alignment horizontal="right"/>
    </xf>
    <xf numFmtId="167" fontId="36" fillId="0" borderId="262" xfId="0" applyNumberFormat="1" applyFont="1" applyBorder="1" applyAlignment="1">
      <alignment horizontal="right"/>
    </xf>
    <xf numFmtId="167" fontId="27" fillId="2" borderId="263" xfId="0" applyNumberFormat="1" applyFont="1" applyFill="1" applyBorder="1" applyAlignment="1">
      <alignment horizontal="right"/>
    </xf>
    <xf numFmtId="165" fontId="28" fillId="2" borderId="264" xfId="0" applyNumberFormat="1" applyFont="1" applyFill="1" applyBorder="1" applyAlignment="1">
      <alignment horizontal="right"/>
    </xf>
    <xf numFmtId="165" fontId="28" fillId="0" borderId="257" xfId="0" applyNumberFormat="1" applyFont="1" applyBorder="1" applyAlignment="1">
      <alignment horizontal="right"/>
    </xf>
    <xf numFmtId="167" fontId="36" fillId="0" borderId="220" xfId="0" applyNumberFormat="1" applyFont="1" applyBorder="1" applyAlignment="1">
      <alignment horizontal="right"/>
    </xf>
    <xf numFmtId="164" fontId="28" fillId="0" borderId="265" xfId="0" applyNumberFormat="1" applyFont="1" applyBorder="1" applyAlignment="1">
      <alignment horizontal="right"/>
    </xf>
    <xf numFmtId="167" fontId="27" fillId="2" borderId="124" xfId="0" applyNumberFormat="1" applyFont="1" applyFill="1" applyBorder="1" applyAlignment="1">
      <alignment horizontal="right"/>
    </xf>
    <xf numFmtId="165" fontId="28" fillId="2" borderId="133" xfId="0" applyNumberFormat="1" applyFont="1" applyFill="1" applyBorder="1" applyAlignment="1">
      <alignment horizontal="right"/>
    </xf>
    <xf numFmtId="164" fontId="28" fillId="0" borderId="114" xfId="0" applyNumberFormat="1" applyFont="1" applyBorder="1" applyAlignment="1">
      <alignment horizontal="right"/>
    </xf>
    <xf numFmtId="167" fontId="36" fillId="0" borderId="172" xfId="0" applyNumberFormat="1" applyFont="1" applyBorder="1" applyAlignment="1">
      <alignment horizontal="right"/>
    </xf>
    <xf numFmtId="167" fontId="27" fillId="2" borderId="115" xfId="0" applyNumberFormat="1" applyFont="1" applyFill="1" applyBorder="1" applyAlignment="1">
      <alignment horizontal="right"/>
    </xf>
    <xf numFmtId="165" fontId="28" fillId="2" borderId="266" xfId="0" applyNumberFormat="1" applyFont="1" applyFill="1" applyBorder="1" applyAlignment="1">
      <alignment horizontal="right"/>
    </xf>
    <xf numFmtId="165" fontId="28" fillId="0" borderId="203" xfId="0" applyNumberFormat="1" applyFont="1" applyBorder="1" applyAlignment="1">
      <alignment horizontal="right"/>
    </xf>
    <xf numFmtId="167" fontId="36" fillId="0" borderId="127" xfId="0" applyNumberFormat="1" applyFont="1" applyBorder="1" applyAlignment="1">
      <alignment horizontal="right"/>
    </xf>
    <xf numFmtId="167" fontId="21" fillId="2" borderId="0" xfId="0" applyNumberFormat="1" applyFont="1" applyFill="1" applyAlignment="1">
      <alignment horizontal="center"/>
    </xf>
    <xf numFmtId="164" fontId="38" fillId="0" borderId="0" xfId="0" applyNumberFormat="1" applyFont="1" applyAlignment="1">
      <alignment horizontal="center"/>
    </xf>
    <xf numFmtId="164" fontId="49" fillId="0" borderId="19" xfId="0" applyNumberFormat="1" applyFont="1" applyBorder="1" applyAlignment="1">
      <alignment horizontal="right"/>
    </xf>
    <xf numFmtId="164" fontId="49" fillId="0" borderId="0" xfId="0" applyNumberFormat="1" applyFont="1" applyAlignment="1">
      <alignment horizontal="right"/>
    </xf>
    <xf numFmtId="164" fontId="49" fillId="0" borderId="19" xfId="0" applyNumberFormat="1" applyFont="1" applyBorder="1" applyAlignment="1">
      <alignment horizontal="center"/>
    </xf>
    <xf numFmtId="167" fontId="49" fillId="0" borderId="21" xfId="0" applyNumberFormat="1" applyFont="1" applyBorder="1" applyAlignment="1">
      <alignment horizontal="center"/>
    </xf>
    <xf numFmtId="164" fontId="49" fillId="0" borderId="145" xfId="0" applyNumberFormat="1" applyFont="1" applyBorder="1" applyAlignment="1">
      <alignment horizontal="center"/>
    </xf>
    <xf numFmtId="49" fontId="27" fillId="0" borderId="26" xfId="0" applyNumberFormat="1" applyFont="1" applyBorder="1" applyAlignment="1">
      <alignment horizontal="center"/>
    </xf>
    <xf numFmtId="164" fontId="50" fillId="0" borderId="27" xfId="0" applyNumberFormat="1" applyFont="1" applyBorder="1" applyAlignment="1">
      <alignment horizontal="center"/>
    </xf>
    <xf numFmtId="164" fontId="7" fillId="0" borderId="27" xfId="0" applyNumberFormat="1" applyFont="1" applyBorder="1" applyAlignment="1">
      <alignment horizontal="center"/>
    </xf>
    <xf numFmtId="164" fontId="7" fillId="0" borderId="33" xfId="0" applyNumberFormat="1" applyFont="1" applyBorder="1" applyAlignment="1">
      <alignment horizontal="center"/>
    </xf>
    <xf numFmtId="167" fontId="7" fillId="0" borderId="38" xfId="0" applyNumberFormat="1" applyFont="1" applyBorder="1" applyAlignment="1">
      <alignment horizontal="center"/>
    </xf>
    <xf numFmtId="167" fontId="7" fillId="0" borderId="33" xfId="0" applyNumberFormat="1" applyFont="1" applyBorder="1" applyAlignment="1">
      <alignment horizontal="center"/>
    </xf>
    <xf numFmtId="49" fontId="27" fillId="0" borderId="207" xfId="0" applyNumberFormat="1" applyFont="1" applyBorder="1" applyAlignment="1">
      <alignment horizontal="center"/>
    </xf>
    <xf numFmtId="4" fontId="48" fillId="8" borderId="19" xfId="0" applyNumberFormat="1" applyFont="1" applyFill="1" applyBorder="1" applyAlignment="1">
      <alignment horizontal="center"/>
    </xf>
    <xf numFmtId="164" fontId="14" fillId="8" borderId="19" xfId="0" applyNumberFormat="1" applyFont="1" applyFill="1" applyBorder="1" applyAlignment="1">
      <alignment horizontal="right"/>
    </xf>
    <xf numFmtId="164" fontId="14" fillId="8" borderId="19" xfId="0" applyNumberFormat="1" applyFont="1" applyFill="1" applyBorder="1" applyAlignment="1">
      <alignment horizontal="center"/>
    </xf>
    <xf numFmtId="167" fontId="48" fillId="8" borderId="30" xfId="0" applyNumberFormat="1" applyFont="1" applyFill="1" applyBorder="1" applyAlignment="1">
      <alignment horizontal="center"/>
    </xf>
    <xf numFmtId="167" fontId="48" fillId="8" borderId="122" xfId="0" applyNumberFormat="1" applyFont="1" applyFill="1" applyBorder="1" applyAlignment="1">
      <alignment horizontal="center"/>
    </xf>
    <xf numFmtId="4" fontId="48" fillId="8" borderId="30" xfId="0" applyNumberFormat="1" applyFont="1" applyFill="1" applyBorder="1" applyAlignment="1">
      <alignment horizontal="center"/>
    </xf>
    <xf numFmtId="164" fontId="48" fillId="8" borderId="19" xfId="0" applyNumberFormat="1" applyFont="1" applyFill="1" applyBorder="1" applyAlignment="1">
      <alignment horizontal="center"/>
    </xf>
    <xf numFmtId="1" fontId="15" fillId="14" borderId="3" xfId="0" applyNumberFormat="1" applyFont="1" applyFill="1" applyBorder="1" applyAlignment="1">
      <alignment horizontal="center"/>
    </xf>
    <xf numFmtId="1" fontId="5" fillId="14" borderId="3" xfId="0" applyNumberFormat="1" applyFont="1" applyFill="1" applyBorder="1" applyAlignment="1">
      <alignment horizontal="center"/>
    </xf>
    <xf numFmtId="1" fontId="5" fillId="14" borderId="8" xfId="0" applyNumberFormat="1" applyFont="1" applyFill="1" applyBorder="1" applyAlignment="1">
      <alignment horizontal="center"/>
    </xf>
    <xf numFmtId="164" fontId="36" fillId="15" borderId="44" xfId="0" applyNumberFormat="1" applyFont="1" applyFill="1" applyBorder="1" applyAlignment="1">
      <alignment horizontal="right"/>
    </xf>
    <xf numFmtId="164" fontId="36" fillId="15" borderId="33" xfId="0" applyNumberFormat="1" applyFont="1" applyFill="1" applyBorder="1" applyAlignment="1">
      <alignment horizontal="right"/>
    </xf>
    <xf numFmtId="164" fontId="36" fillId="15" borderId="4" xfId="0" applyNumberFormat="1" applyFont="1" applyFill="1" applyBorder="1" applyAlignment="1">
      <alignment horizontal="right"/>
    </xf>
    <xf numFmtId="167" fontId="36" fillId="15" borderId="123" xfId="0" applyNumberFormat="1" applyFont="1" applyFill="1" applyBorder="1" applyAlignment="1">
      <alignment horizontal="right"/>
    </xf>
    <xf numFmtId="167" fontId="38" fillId="15" borderId="188" xfId="0" applyNumberFormat="1" applyFont="1" applyFill="1" applyBorder="1" applyAlignment="1">
      <alignment horizontal="right"/>
    </xf>
    <xf numFmtId="165" fontId="36" fillId="15" borderId="156" xfId="0" applyNumberFormat="1" applyFont="1" applyFill="1" applyBorder="1" applyAlignment="1">
      <alignment horizontal="right"/>
    </xf>
    <xf numFmtId="0" fontId="36" fillId="15" borderId="142" xfId="0" applyFont="1" applyFill="1" applyBorder="1" applyAlignment="1">
      <alignment horizontal="right"/>
    </xf>
    <xf numFmtId="164" fontId="36" fillId="15" borderId="230" xfId="0" applyNumberFormat="1" applyFont="1" applyFill="1" applyBorder="1" applyAlignment="1">
      <alignment horizontal="right"/>
    </xf>
    <xf numFmtId="164" fontId="36" fillId="15" borderId="231" xfId="0" applyNumberFormat="1" applyFont="1" applyFill="1" applyBorder="1" applyAlignment="1">
      <alignment horizontal="right"/>
    </xf>
    <xf numFmtId="164" fontId="36" fillId="15" borderId="20" xfId="0" applyNumberFormat="1" applyFont="1" applyFill="1" applyBorder="1" applyAlignment="1">
      <alignment horizontal="right"/>
    </xf>
    <xf numFmtId="167" fontId="36" fillId="15" borderId="163" xfId="0" applyNumberFormat="1" applyFont="1" applyFill="1" applyBorder="1" applyAlignment="1">
      <alignment horizontal="right"/>
    </xf>
    <xf numFmtId="167" fontId="38" fillId="15" borderId="198" xfId="0" applyNumberFormat="1" applyFont="1" applyFill="1" applyBorder="1" applyAlignment="1">
      <alignment horizontal="right"/>
    </xf>
    <xf numFmtId="165" fontId="36" fillId="15" borderId="157" xfId="0" applyNumberFormat="1" applyFont="1" applyFill="1" applyBorder="1" applyAlignment="1">
      <alignment horizontal="right"/>
    </xf>
    <xf numFmtId="164" fontId="36" fillId="15" borderId="67" xfId="0" applyNumberFormat="1" applyFont="1" applyFill="1" applyBorder="1" applyAlignment="1">
      <alignment horizontal="right"/>
    </xf>
    <xf numFmtId="0" fontId="36" fillId="15" borderId="67" xfId="0" applyFont="1" applyFill="1" applyBorder="1" applyAlignment="1">
      <alignment horizontal="right"/>
    </xf>
    <xf numFmtId="164" fontId="36" fillId="15" borderId="137" xfId="0" applyNumberFormat="1" applyFont="1" applyFill="1" applyBorder="1" applyAlignment="1">
      <alignment horizontal="right"/>
    </xf>
    <xf numFmtId="167" fontId="36" fillId="15" borderId="238" xfId="0" applyNumberFormat="1" applyFont="1" applyFill="1" applyBorder="1" applyAlignment="1">
      <alignment horizontal="right"/>
    </xf>
    <xf numFmtId="167" fontId="36" fillId="15" borderId="196" xfId="0" applyNumberFormat="1" applyFont="1" applyFill="1" applyBorder="1" applyAlignment="1">
      <alignment horizontal="right"/>
    </xf>
    <xf numFmtId="164" fontId="36" fillId="15" borderId="125" xfId="0" applyNumberFormat="1" applyFont="1" applyFill="1" applyBorder="1" applyAlignment="1">
      <alignment horizontal="right"/>
    </xf>
    <xf numFmtId="164" fontId="36" fillId="15" borderId="239" xfId="0" applyNumberFormat="1" applyFont="1" applyFill="1" applyBorder="1" applyAlignment="1">
      <alignment horizontal="right"/>
    </xf>
    <xf numFmtId="164" fontId="36" fillId="15" borderId="121" xfId="0" applyNumberFormat="1" applyFont="1" applyFill="1" applyBorder="1" applyAlignment="1">
      <alignment horizontal="right"/>
    </xf>
    <xf numFmtId="167" fontId="36" fillId="15" borderId="240" xfId="0" applyNumberFormat="1" applyFont="1" applyFill="1" applyBorder="1" applyAlignment="1">
      <alignment horizontal="right"/>
    </xf>
    <xf numFmtId="167" fontId="38" fillId="15" borderId="191" xfId="0" applyNumberFormat="1" applyFont="1" applyFill="1" applyBorder="1" applyAlignment="1">
      <alignment horizontal="right"/>
    </xf>
    <xf numFmtId="165" fontId="36" fillId="15" borderId="192" xfId="0" applyNumberFormat="1" applyFont="1" applyFill="1" applyBorder="1" applyAlignment="1">
      <alignment horizontal="right"/>
    </xf>
    <xf numFmtId="164" fontId="51" fillId="0" borderId="19" xfId="0" applyNumberFormat="1" applyFont="1" applyBorder="1" applyAlignment="1">
      <alignment horizontal="center"/>
    </xf>
    <xf numFmtId="4" fontId="51" fillId="0" borderId="30" xfId="0" applyNumberFormat="1" applyFont="1" applyBorder="1" applyAlignment="1">
      <alignment horizontal="center"/>
    </xf>
    <xf numFmtId="167" fontId="38" fillId="0" borderId="188" xfId="0" applyNumberFormat="1" applyFont="1" applyBorder="1" applyAlignment="1">
      <alignment horizontal="right"/>
    </xf>
    <xf numFmtId="164" fontId="36" fillId="15" borderId="195" xfId="0" applyNumberFormat="1" applyFont="1" applyFill="1" applyBorder="1" applyAlignment="1">
      <alignment horizontal="right"/>
    </xf>
    <xf numFmtId="164" fontId="36" fillId="15" borderId="41" xfId="0" applyNumberFormat="1" applyFont="1" applyFill="1" applyBorder="1" applyAlignment="1">
      <alignment horizontal="right"/>
    </xf>
    <xf numFmtId="164" fontId="36" fillId="15" borderId="236" xfId="0" applyNumberFormat="1" applyFont="1" applyFill="1" applyBorder="1" applyAlignment="1">
      <alignment horizontal="right"/>
    </xf>
    <xf numFmtId="164" fontId="36" fillId="15" borderId="220" xfId="0" applyNumberFormat="1" applyFont="1" applyFill="1" applyBorder="1" applyAlignment="1">
      <alignment horizontal="right"/>
    </xf>
    <xf numFmtId="167" fontId="36" fillId="15" borderId="237" xfId="0" applyNumberFormat="1" applyFont="1" applyFill="1" applyBorder="1" applyAlignment="1">
      <alignment horizontal="right"/>
    </xf>
    <xf numFmtId="167" fontId="38" fillId="15" borderId="185" xfId="0" applyNumberFormat="1" applyFont="1" applyFill="1" applyBorder="1" applyAlignment="1">
      <alignment horizontal="right"/>
    </xf>
    <xf numFmtId="165" fontId="36" fillId="15" borderId="154" xfId="0" applyNumberFormat="1" applyFont="1" applyFill="1" applyBorder="1" applyAlignment="1">
      <alignment horizontal="right"/>
    </xf>
    <xf numFmtId="4" fontId="51" fillId="0" borderId="0" xfId="0" applyNumberFormat="1" applyFont="1" applyAlignment="1">
      <alignment horizontal="center"/>
    </xf>
    <xf numFmtId="4" fontId="51" fillId="8" borderId="30" xfId="0" applyNumberFormat="1" applyFont="1" applyFill="1" applyBorder="1" applyAlignment="1">
      <alignment horizontal="center"/>
    </xf>
    <xf numFmtId="164" fontId="51" fillId="8" borderId="19" xfId="0" applyNumberFormat="1" applyFont="1" applyFill="1" applyBorder="1" applyAlignment="1">
      <alignment horizontal="center"/>
    </xf>
    <xf numFmtId="167" fontId="51" fillId="8" borderId="30" xfId="0" applyNumberFormat="1" applyFont="1" applyFill="1" applyBorder="1" applyAlignment="1">
      <alignment horizontal="center"/>
    </xf>
    <xf numFmtId="167" fontId="51" fillId="8" borderId="122" xfId="0" applyNumberFormat="1" applyFont="1" applyFill="1" applyBorder="1" applyAlignment="1">
      <alignment horizontal="center"/>
    </xf>
    <xf numFmtId="164" fontId="49" fillId="0" borderId="0" xfId="0" applyNumberFormat="1" applyFont="1" applyAlignment="1">
      <alignment horizontal="center"/>
    </xf>
    <xf numFmtId="164" fontId="49" fillId="8" borderId="19" xfId="0" applyNumberFormat="1" applyFont="1" applyFill="1" applyBorder="1" applyAlignment="1">
      <alignment horizontal="center"/>
    </xf>
    <xf numFmtId="164" fontId="49" fillId="8" borderId="19" xfId="0" applyNumberFormat="1" applyFont="1" applyFill="1" applyBorder="1" applyAlignment="1">
      <alignment horizontal="right"/>
    </xf>
    <xf numFmtId="0" fontId="4" fillId="0" borderId="24" xfId="0" applyFont="1" applyBorder="1" applyAlignment="1">
      <alignment horizontal="center"/>
    </xf>
    <xf numFmtId="0" fontId="4" fillId="0" borderId="80" xfId="0" applyFont="1" applyBorder="1" applyAlignment="1">
      <alignment horizontal="center"/>
    </xf>
    <xf numFmtId="0" fontId="4" fillId="0" borderId="25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4" fillId="8" borderId="2" xfId="0" applyFont="1" applyFill="1" applyBorder="1" applyAlignment="1">
      <alignment horizontal="center" wrapText="1"/>
    </xf>
    <xf numFmtId="0" fontId="4" fillId="8" borderId="19" xfId="0" applyFont="1" applyFill="1" applyBorder="1" applyAlignment="1">
      <alignment horizontal="center" wrapText="1"/>
    </xf>
    <xf numFmtId="0" fontId="4" fillId="13" borderId="2" xfId="0" applyFont="1" applyFill="1" applyBorder="1" applyAlignment="1">
      <alignment horizontal="center" wrapText="1"/>
    </xf>
    <xf numFmtId="0" fontId="4" fillId="13" borderId="19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7" fillId="0" borderId="64" xfId="0" applyFont="1" applyBorder="1"/>
    <xf numFmtId="0" fontId="27" fillId="0" borderId="27" xfId="0" applyFont="1" applyBorder="1"/>
    <xf numFmtId="0" fontId="27" fillId="0" borderId="5" xfId="0" applyFont="1" applyBorder="1"/>
    <xf numFmtId="0" fontId="27" fillId="0" borderId="209" xfId="0" applyFont="1" applyBorder="1"/>
    <xf numFmtId="0" fontId="27" fillId="0" borderId="194" xfId="0" applyFont="1" applyBorder="1"/>
    <xf numFmtId="0" fontId="27" fillId="0" borderId="210" xfId="0" applyFont="1" applyBorder="1"/>
    <xf numFmtId="0" fontId="27" fillId="0" borderId="74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75" xfId="0" applyFont="1" applyBorder="1" applyAlignment="1">
      <alignment horizontal="center"/>
    </xf>
    <xf numFmtId="0" fontId="21" fillId="2" borderId="208" xfId="0" applyFont="1" applyFill="1" applyBorder="1" applyAlignment="1">
      <alignment horizontal="center"/>
    </xf>
    <xf numFmtId="0" fontId="21" fillId="2" borderId="97" xfId="0" applyFont="1" applyFill="1" applyBorder="1" applyAlignment="1">
      <alignment horizontal="center"/>
    </xf>
    <xf numFmtId="0" fontId="21" fillId="2" borderId="94" xfId="0" applyFont="1" applyFill="1" applyBorder="1" applyAlignment="1">
      <alignment horizontal="center"/>
    </xf>
    <xf numFmtId="0" fontId="24" fillId="2" borderId="49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51" xfId="0" applyFont="1" applyFill="1" applyBorder="1" applyAlignment="1">
      <alignment horizontal="center"/>
    </xf>
    <xf numFmtId="0" fontId="27" fillId="0" borderId="89" xfId="0" applyFont="1" applyBorder="1"/>
    <xf numFmtId="0" fontId="27" fillId="0" borderId="166" xfId="0" applyFont="1" applyBorder="1"/>
    <xf numFmtId="0" fontId="27" fillId="0" borderId="90" xfId="0" applyFont="1" applyBorder="1"/>
    <xf numFmtId="0" fontId="21" fillId="2" borderId="49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2" borderId="45" xfId="0" applyFont="1" applyFill="1" applyBorder="1" applyAlignment="1">
      <alignment horizontal="center"/>
    </xf>
    <xf numFmtId="0" fontId="21" fillId="2" borderId="46" xfId="0" applyFont="1" applyFill="1" applyBorder="1" applyAlignment="1">
      <alignment horizontal="center"/>
    </xf>
    <xf numFmtId="0" fontId="21" fillId="2" borderId="48" xfId="0" applyFont="1" applyFill="1" applyBorder="1" applyAlignment="1">
      <alignment horizontal="center"/>
    </xf>
    <xf numFmtId="0" fontId="21" fillId="2" borderId="206" xfId="0" applyFont="1" applyFill="1" applyBorder="1" applyAlignment="1">
      <alignment horizontal="center"/>
    </xf>
    <xf numFmtId="0" fontId="21" fillId="2" borderId="207" xfId="0" applyFont="1" applyFill="1" applyBorder="1" applyAlignment="1">
      <alignment horizontal="center"/>
    </xf>
    <xf numFmtId="0" fontId="38" fillId="15" borderId="89" xfId="0" applyFont="1" applyFill="1" applyBorder="1"/>
    <xf numFmtId="0" fontId="38" fillId="15" borderId="166" xfId="0" applyFont="1" applyFill="1" applyBorder="1"/>
    <xf numFmtId="0" fontId="38" fillId="15" borderId="64" xfId="0" applyFont="1" applyFill="1" applyBorder="1"/>
    <xf numFmtId="0" fontId="38" fillId="15" borderId="27" xfId="0" applyFont="1" applyFill="1" applyBorder="1"/>
    <xf numFmtId="0" fontId="38" fillId="15" borderId="209" xfId="0" applyFont="1" applyFill="1" applyBorder="1"/>
    <xf numFmtId="0" fontId="38" fillId="15" borderId="194" xfId="0" applyFont="1" applyFill="1" applyBorder="1"/>
    <xf numFmtId="0" fontId="2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8" fillId="0" borderId="211" xfId="0" applyFont="1" applyBorder="1" applyAlignment="1">
      <alignment horizontal="center"/>
    </xf>
    <xf numFmtId="0" fontId="38" fillId="0" borderId="138" xfId="0" applyFont="1" applyBorder="1" applyAlignment="1">
      <alignment horizontal="center"/>
    </xf>
    <xf numFmtId="0" fontId="38" fillId="0" borderId="168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27" fillId="2" borderId="216" xfId="0" applyFont="1" applyFill="1" applyBorder="1" applyAlignment="1">
      <alignment horizontal="center"/>
    </xf>
    <xf numFmtId="0" fontId="27" fillId="2" borderId="217" xfId="0" applyFont="1" applyFill="1" applyBorder="1" applyAlignment="1">
      <alignment horizontal="center"/>
    </xf>
    <xf numFmtId="0" fontId="27" fillId="2" borderId="218" xfId="0" applyFont="1" applyFill="1" applyBorder="1" applyAlignment="1">
      <alignment horizontal="center"/>
    </xf>
    <xf numFmtId="0" fontId="38" fillId="15" borderId="228" xfId="0" applyFont="1" applyFill="1" applyBorder="1"/>
    <xf numFmtId="0" fontId="38" fillId="15" borderId="229" xfId="0" applyFont="1" applyFill="1" applyBorder="1"/>
    <xf numFmtId="0" fontId="38" fillId="0" borderId="64" xfId="0" applyFont="1" applyBorder="1"/>
    <xf numFmtId="0" fontId="38" fillId="0" borderId="27" xfId="0" applyFont="1" applyBorder="1"/>
    <xf numFmtId="0" fontId="42" fillId="0" borderId="212" xfId="0" applyFont="1" applyBorder="1" applyAlignment="1">
      <alignment horizontal="center"/>
    </xf>
    <xf numFmtId="0" fontId="38" fillId="0" borderId="42" xfId="0" applyFont="1" applyBorder="1" applyAlignment="1">
      <alignment horizontal="center"/>
    </xf>
    <xf numFmtId="0" fontId="38" fillId="0" borderId="211" xfId="0" applyFont="1" applyBorder="1" applyAlignment="1">
      <alignment horizontal="center" wrapText="1"/>
    </xf>
    <xf numFmtId="0" fontId="43" fillId="0" borderId="138" xfId="0" applyFont="1" applyBorder="1" applyAlignment="1">
      <alignment horizontal="center" wrapText="1"/>
    </xf>
    <xf numFmtId="0" fontId="38" fillId="0" borderId="49" xfId="0" applyFont="1" applyBorder="1"/>
    <xf numFmtId="0" fontId="38" fillId="0" borderId="0" xfId="0" applyFont="1"/>
    <xf numFmtId="170" fontId="21" fillId="0" borderId="54" xfId="0" applyNumberFormat="1" applyFont="1" applyBorder="1" applyAlignment="1">
      <alignment horizontal="right" wrapText="1"/>
    </xf>
    <xf numFmtId="0" fontId="0" fillId="0" borderId="54" xfId="0" applyBorder="1" applyAlignment="1">
      <alignment wrapText="1"/>
    </xf>
    <xf numFmtId="0" fontId="38" fillId="0" borderId="109" xfId="0" applyFont="1" applyBorder="1"/>
    <xf numFmtId="0" fontId="38" fillId="0" borderId="39" xfId="0" applyFont="1" applyBorder="1"/>
    <xf numFmtId="0" fontId="38" fillId="2" borderId="49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27" fillId="2" borderId="204" xfId="0" applyFont="1" applyFill="1" applyBorder="1" applyAlignment="1">
      <alignment horizontal="center"/>
    </xf>
    <xf numFmtId="0" fontId="27" fillId="2" borderId="205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205" xfId="0" applyFont="1" applyFill="1" applyBorder="1" applyAlignment="1">
      <alignment horizontal="center"/>
    </xf>
    <xf numFmtId="0" fontId="27" fillId="2" borderId="215" xfId="0" applyFont="1" applyFill="1" applyBorder="1" applyAlignment="1">
      <alignment horizontal="center" vertical="center" wrapText="1"/>
    </xf>
    <xf numFmtId="0" fontId="27" fillId="2" borderId="46" xfId="0" applyFont="1" applyFill="1" applyBorder="1" applyAlignment="1">
      <alignment horizontal="center" vertical="center" wrapText="1"/>
    </xf>
    <xf numFmtId="0" fontId="27" fillId="2" borderId="214" xfId="0" applyFont="1" applyFill="1" applyBorder="1" applyAlignment="1">
      <alignment horizontal="center" vertical="center" wrapText="1"/>
    </xf>
    <xf numFmtId="0" fontId="0" fillId="0" borderId="13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7" fillId="2" borderId="213" xfId="0" applyFont="1" applyFill="1" applyBorder="1" applyAlignment="1">
      <alignment horizontal="center" vertical="center" wrapText="1"/>
    </xf>
    <xf numFmtId="0" fontId="0" fillId="0" borderId="22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36" fillId="0" borderId="44" xfId="0" applyFont="1" applyBorder="1"/>
    <xf numFmtId="0" fontId="36" fillId="0" borderId="27" xfId="0" applyFont="1" applyBorder="1"/>
    <xf numFmtId="0" fontId="36" fillId="0" borderId="5" xfId="0" applyFont="1" applyBorder="1"/>
    <xf numFmtId="0" fontId="36" fillId="0" borderId="114" xfId="0" applyFont="1" applyBorder="1"/>
    <xf numFmtId="0" fontId="36" fillId="0" borderId="10" xfId="0" applyFont="1" applyBorder="1"/>
    <xf numFmtId="0" fontId="36" fillId="0" borderId="9" xfId="0" applyFont="1" applyBorder="1"/>
    <xf numFmtId="0" fontId="27" fillId="0" borderId="211" xfId="0" applyFont="1" applyBorder="1" applyAlignment="1">
      <alignment horizontal="center" wrapText="1"/>
    </xf>
    <xf numFmtId="0" fontId="0" fillId="0" borderId="138" xfId="0" applyBorder="1" applyAlignment="1">
      <alignment horizontal="center" wrapText="1"/>
    </xf>
    <xf numFmtId="0" fontId="0" fillId="0" borderId="161" xfId="0" applyBorder="1" applyAlignment="1">
      <alignment horizontal="center" wrapText="1"/>
    </xf>
    <xf numFmtId="0" fontId="36" fillId="0" borderId="64" xfId="0" applyFont="1" applyBorder="1"/>
    <xf numFmtId="0" fontId="36" fillId="0" borderId="41" xfId="0" applyFont="1" applyBorder="1"/>
    <xf numFmtId="0" fontId="36" fillId="0" borderId="42" xfId="0" applyFont="1" applyBorder="1"/>
    <xf numFmtId="0" fontId="36" fillId="0" borderId="95" xfId="0" applyFont="1" applyBorder="1"/>
    <xf numFmtId="0" fontId="27" fillId="0" borderId="0" xfId="0" applyFont="1" applyAlignment="1">
      <alignment horizontal="center"/>
    </xf>
    <xf numFmtId="0" fontId="39" fillId="0" borderId="212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27" fillId="0" borderId="95" xfId="0" applyFont="1" applyBorder="1" applyAlignment="1">
      <alignment horizontal="center"/>
    </xf>
    <xf numFmtId="0" fontId="27" fillId="0" borderId="168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36" fillId="0" borderId="49" xfId="0" applyFont="1" applyBorder="1"/>
    <xf numFmtId="0" fontId="36" fillId="0" borderId="0" xfId="0" applyFont="1"/>
    <xf numFmtId="0" fontId="36" fillId="0" borderId="6" xfId="0" applyFont="1" applyBorder="1"/>
    <xf numFmtId="0" fontId="36" fillId="0" borderId="109" xfId="0" applyFont="1" applyBorder="1"/>
    <xf numFmtId="0" fontId="36" fillId="0" borderId="39" xfId="0" applyFont="1" applyBorder="1"/>
    <xf numFmtId="0" fontId="36" fillId="0" borderId="38" xfId="0" applyFont="1" applyBorder="1"/>
    <xf numFmtId="14" fontId="21" fillId="0" borderId="54" xfId="0" applyNumberFormat="1" applyFont="1" applyBorder="1" applyAlignment="1">
      <alignment horizontal="right" wrapText="1"/>
    </xf>
    <xf numFmtId="0" fontId="27" fillId="2" borderId="49" xfId="0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39" fillId="0" borderId="89" xfId="0" applyFont="1" applyBorder="1" applyAlignment="1">
      <alignment horizontal="center"/>
    </xf>
    <xf numFmtId="0" fontId="27" fillId="0" borderId="166" xfId="0" applyFont="1" applyBorder="1" applyAlignment="1">
      <alignment horizontal="center"/>
    </xf>
    <xf numFmtId="0" fontId="27" fillId="0" borderId="90" xfId="0" applyFont="1" applyBorder="1" applyAlignment="1">
      <alignment horizontal="center"/>
    </xf>
    <xf numFmtId="0" fontId="24" fillId="2" borderId="217" xfId="0" applyFont="1" applyFill="1" applyBorder="1" applyAlignment="1">
      <alignment horizontal="center"/>
    </xf>
    <xf numFmtId="0" fontId="24" fillId="2" borderId="219" xfId="0" applyFont="1" applyFill="1" applyBorder="1" applyAlignment="1">
      <alignment horizontal="center"/>
    </xf>
    <xf numFmtId="0" fontId="22" fillId="2" borderId="134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22" fillId="2" borderId="205" xfId="0" applyFont="1" applyFill="1" applyBorder="1" applyAlignment="1">
      <alignment horizontal="center"/>
    </xf>
    <xf numFmtId="0" fontId="22" fillId="2" borderId="215" xfId="0" applyFont="1" applyFill="1" applyBorder="1" applyAlignment="1">
      <alignment horizontal="center"/>
    </xf>
    <xf numFmtId="0" fontId="22" fillId="2" borderId="214" xfId="0" applyFont="1" applyFill="1" applyBorder="1" applyAlignment="1">
      <alignment horizontal="center"/>
    </xf>
    <xf numFmtId="0" fontId="36" fillId="0" borderId="125" xfId="0" applyFont="1" applyBorder="1"/>
    <xf numFmtId="0" fontId="36" fillId="0" borderId="29" xfId="0" applyFont="1" applyBorder="1"/>
    <xf numFmtId="0" fontId="36" fillId="0" borderId="13" xfId="0" applyFont="1" applyBorder="1"/>
    <xf numFmtId="0" fontId="59" fillId="0" borderId="53" xfId="0" applyFont="1" applyBorder="1"/>
    <xf numFmtId="0" fontId="59" fillId="0" borderId="54" xfId="0" applyFont="1" applyBorder="1"/>
    <xf numFmtId="0" fontId="59" fillId="0" borderId="71" xfId="0" applyFont="1" applyBorder="1"/>
    <xf numFmtId="0" fontId="56" fillId="2" borderId="208" xfId="0" applyFont="1" applyFill="1" applyBorder="1" applyAlignment="1">
      <alignment horizontal="center"/>
    </xf>
    <xf numFmtId="0" fontId="56" fillId="2" borderId="97" xfId="0" applyFont="1" applyFill="1" applyBorder="1" applyAlignment="1">
      <alignment horizontal="center"/>
    </xf>
    <xf numFmtId="0" fontId="56" fillId="2" borderId="94" xfId="0" applyFont="1" applyFill="1" applyBorder="1" applyAlignment="1">
      <alignment horizontal="center"/>
    </xf>
    <xf numFmtId="0" fontId="39" fillId="0" borderId="119" xfId="0" applyFont="1" applyBorder="1" applyAlignment="1">
      <alignment horizontal="center"/>
    </xf>
    <xf numFmtId="0" fontId="27" fillId="0" borderId="126" xfId="0" applyFont="1" applyBorder="1" applyAlignment="1">
      <alignment horizontal="center"/>
    </xf>
    <xf numFmtId="0" fontId="27" fillId="0" borderId="255" xfId="0" applyFont="1" applyBorder="1" applyAlignment="1">
      <alignment horizontal="center"/>
    </xf>
    <xf numFmtId="0" fontId="53" fillId="2" borderId="49" xfId="0" applyFont="1" applyFill="1" applyBorder="1" applyAlignment="1">
      <alignment horizontal="center"/>
    </xf>
    <xf numFmtId="0" fontId="53" fillId="2" borderId="0" xfId="0" applyFont="1" applyFill="1" applyAlignment="1">
      <alignment horizontal="center"/>
    </xf>
    <xf numFmtId="0" fontId="53" fillId="0" borderId="6" xfId="0" applyFont="1" applyBorder="1" applyAlignment="1">
      <alignment horizontal="center"/>
    </xf>
    <xf numFmtId="0" fontId="39" fillId="0" borderId="45" xfId="0" applyFont="1" applyBorder="1" applyAlignment="1">
      <alignment horizontal="center"/>
    </xf>
    <xf numFmtId="0" fontId="39" fillId="0" borderId="46" xfId="0" applyFont="1" applyBorder="1" applyAlignment="1">
      <alignment horizontal="center"/>
    </xf>
    <xf numFmtId="0" fontId="39" fillId="0" borderId="248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5" fillId="2" borderId="242" xfId="0" applyFont="1" applyFill="1" applyBorder="1" applyAlignment="1">
      <alignment horizontal="center"/>
    </xf>
    <xf numFmtId="0" fontId="55" fillId="2" borderId="46" xfId="0" applyFont="1" applyFill="1" applyBorder="1" applyAlignment="1">
      <alignment horizontal="center"/>
    </xf>
    <xf numFmtId="0" fontId="56" fillId="2" borderId="243" xfId="0" applyFont="1" applyFill="1" applyBorder="1" applyAlignment="1">
      <alignment horizontal="center"/>
    </xf>
    <xf numFmtId="0" fontId="56" fillId="2" borderId="217" xfId="0" applyFont="1" applyFill="1" applyBorder="1" applyAlignment="1">
      <alignment horizontal="center"/>
    </xf>
    <xf numFmtId="0" fontId="56" fillId="2" borderId="219" xfId="0" applyFont="1" applyFill="1" applyBorder="1" applyAlignment="1">
      <alignment horizontal="center"/>
    </xf>
    <xf numFmtId="0" fontId="54" fillId="2" borderId="17" xfId="0" applyFont="1" applyFill="1" applyBorder="1" applyAlignment="1">
      <alignment horizontal="center"/>
    </xf>
    <xf numFmtId="0" fontId="54" fillId="2" borderId="7" xfId="0" applyFont="1" applyFill="1" applyBorder="1" applyAlignment="1">
      <alignment horizontal="center"/>
    </xf>
    <xf numFmtId="0" fontId="57" fillId="2" borderId="204" xfId="0" applyFont="1" applyFill="1" applyBorder="1" applyAlignment="1">
      <alignment horizontal="center"/>
    </xf>
    <xf numFmtId="0" fontId="57" fillId="2" borderId="23" xfId="0" applyFont="1" applyFill="1" applyBorder="1" applyAlignment="1">
      <alignment horizontal="center"/>
    </xf>
    <xf numFmtId="0" fontId="57" fillId="2" borderId="7" xfId="0" applyFont="1" applyFill="1" applyBorder="1" applyAlignment="1">
      <alignment horizontal="center"/>
    </xf>
    <xf numFmtId="0" fontId="57" fillId="2" borderId="18" xfId="0" applyFont="1" applyFill="1" applyBorder="1" applyAlignment="1">
      <alignment horizontal="center"/>
    </xf>
  </cellXfs>
  <cellStyles count="7">
    <cellStyle name="Normal" xfId="0" builtinId="0"/>
    <cellStyle name="Normal 2" xfId="3" xr:uid="{00000000-0005-0000-0000-000001000000}"/>
    <cellStyle name="Normal 2 2" xfId="6" xr:uid="{00000000-0005-0000-0000-000002000000}"/>
    <cellStyle name="Normal 3" xfId="4" xr:uid="{00000000-0005-0000-0000-000003000000}"/>
    <cellStyle name="Normal 4" xfId="2" xr:uid="{00000000-0005-0000-0000-000004000000}"/>
    <cellStyle name="Normal 5" xfId="5" xr:uid="{00000000-0005-0000-0000-000005000000}"/>
    <cellStyle name="Normal 6" xfId="1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9B67F"/>
      <color rgb="FFF68B32"/>
      <color rgb="FF00FFFF"/>
      <color rgb="FF3EDFF0"/>
      <color rgb="FF24DB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28575</xdr:rowOff>
    </xdr:from>
    <xdr:to>
      <xdr:col>15</xdr:col>
      <xdr:colOff>133271</xdr:colOff>
      <xdr:row>7</xdr:row>
      <xdr:rowOff>72882</xdr:rowOff>
    </xdr:to>
    <xdr:pic>
      <xdr:nvPicPr>
        <xdr:cNvPr id="383222" name="Picture 2" descr="New-Logo-TAY-(Header)-gr_low.jpg">
          <a:extLst>
            <a:ext uri="{FF2B5EF4-FFF2-40B4-BE49-F238E27FC236}">
              <a16:creationId xmlns:a16="http://schemas.microsoft.com/office/drawing/2014/main" id="{00000000-0008-0000-0100-0000F6D8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6916" y="443373"/>
          <a:ext cx="14270323" cy="15230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2</xdr:row>
      <xdr:rowOff>142875</xdr:rowOff>
    </xdr:from>
    <xdr:to>
      <xdr:col>12</xdr:col>
      <xdr:colOff>835066</xdr:colOff>
      <xdr:row>8</xdr:row>
      <xdr:rowOff>110490</xdr:rowOff>
    </xdr:to>
    <xdr:pic>
      <xdr:nvPicPr>
        <xdr:cNvPr id="756761" name="Picture 1" descr="New-Logo-TAY-(Header)-gr_low.jpg">
          <a:extLst>
            <a:ext uri="{FF2B5EF4-FFF2-40B4-BE49-F238E27FC236}">
              <a16:creationId xmlns:a16="http://schemas.microsoft.com/office/drawing/2014/main" id="{00000000-0008-0000-0200-0000198C0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4400" y="762000"/>
          <a:ext cx="13630275" cy="1409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169252</xdr:colOff>
      <xdr:row>1</xdr:row>
      <xdr:rowOff>118696</xdr:rowOff>
    </xdr:from>
    <xdr:to>
      <xdr:col>12</xdr:col>
      <xdr:colOff>821199</xdr:colOff>
      <xdr:row>7</xdr:row>
      <xdr:rowOff>14654</xdr:rowOff>
    </xdr:to>
    <xdr:pic>
      <xdr:nvPicPr>
        <xdr:cNvPr id="712721" name="Picture 1" descr="New-Logo-TAY-(Header)-gr_low.jpg">
          <a:extLst>
            <a:ext uri="{FF2B5EF4-FFF2-40B4-BE49-F238E27FC236}">
              <a16:creationId xmlns:a16="http://schemas.microsoft.com/office/drawing/2014/main" id="{00000000-0008-0000-0300-000011E0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4714" y="279888"/>
          <a:ext cx="12462947" cy="13320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76B0FB0-00C0-47B8-946D-8C56DEB48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97255" y="236220"/>
          <a:ext cx="11595296" cy="1375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4B953E84-1B25-467E-A246-0B72DA03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" y="236220"/>
          <a:ext cx="11595296" cy="1375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H217"/>
  <sheetViews>
    <sheetView showGridLines="0" zoomScale="89" zoomScaleNormal="89" workbookViewId="0">
      <pane xSplit="3" ySplit="7" topLeftCell="D23" activePane="bottomRight" state="frozen"/>
      <selection pane="topRight" activeCell="D1" sqref="D1"/>
      <selection pane="bottomLeft" activeCell="A8" sqref="A8"/>
      <selection pane="bottomRight" activeCell="L34" sqref="L34"/>
    </sheetView>
  </sheetViews>
  <sheetFormatPr defaultColWidth="9.28515625" defaultRowHeight="12.75" x14ac:dyDescent="0.2"/>
  <cols>
    <col min="1" max="1" width="2.28515625" style="5" customWidth="1"/>
    <col min="2" max="2" width="6.28515625" style="5" customWidth="1"/>
    <col min="3" max="3" width="10.28515625" style="5" customWidth="1"/>
    <col min="4" max="4" width="14.28515625" style="5" customWidth="1"/>
    <col min="5" max="5" width="13.42578125" style="5" customWidth="1"/>
    <col min="6" max="7" width="13" style="5" customWidth="1"/>
    <col min="8" max="9" width="12.7109375" style="5" customWidth="1"/>
    <col min="10" max="10" width="12.42578125" style="5" customWidth="1"/>
    <col min="11" max="11" width="11.85546875" style="5" bestFit="1" customWidth="1"/>
    <col min="12" max="12" width="11.85546875" style="5" customWidth="1"/>
    <col min="13" max="13" width="11.42578125" style="5" customWidth="1"/>
    <col min="14" max="14" width="11.85546875" style="5" customWidth="1"/>
    <col min="15" max="15" width="12.28515625" style="5" customWidth="1"/>
    <col min="16" max="16" width="10.7109375" style="5" customWidth="1"/>
    <col min="17" max="17" width="11.5703125" style="5" customWidth="1"/>
    <col min="18" max="18" width="10" style="5" customWidth="1"/>
    <col min="19" max="19" width="10.28515625" style="5" customWidth="1"/>
    <col min="20" max="21" width="11.7109375" style="5" customWidth="1"/>
    <col min="22" max="22" width="13.85546875" style="5" customWidth="1"/>
    <col min="23" max="24" width="16.7109375" style="5" customWidth="1"/>
    <col min="25" max="25" width="13.7109375" style="5" customWidth="1"/>
    <col min="26" max="26" width="15.5703125" style="5" customWidth="1"/>
    <col min="27" max="27" width="4" style="5" customWidth="1"/>
    <col min="28" max="28" width="8.42578125" style="5" customWidth="1"/>
    <col min="29" max="29" width="9.140625" style="5" customWidth="1"/>
    <col min="30" max="30" width="17.5703125" style="5" customWidth="1"/>
    <col min="31" max="31" width="11.85546875" style="5" customWidth="1"/>
    <col min="32" max="32" width="14.140625" style="5" customWidth="1"/>
    <col min="33" max="33" width="14.28515625" style="5" customWidth="1"/>
    <col min="34" max="34" width="14.42578125" style="5" customWidth="1"/>
    <col min="35" max="35" width="15.7109375" style="5" customWidth="1"/>
    <col min="36" max="36" width="14.42578125" style="5" customWidth="1"/>
    <col min="37" max="37" width="12.5703125" style="5" customWidth="1"/>
    <col min="38" max="38" width="11.85546875" style="5" customWidth="1"/>
    <col min="39" max="39" width="13.85546875" style="5" customWidth="1"/>
    <col min="40" max="40" width="14.7109375" style="5" customWidth="1"/>
    <col min="41" max="41" width="12.5703125" style="5" customWidth="1"/>
    <col min="42" max="42" width="14.85546875" style="5" customWidth="1"/>
    <col min="43" max="43" width="11" style="5" customWidth="1"/>
    <col min="44" max="44" width="12.7109375" style="5" customWidth="1"/>
    <col min="45" max="45" width="12" style="5" customWidth="1"/>
    <col min="46" max="46" width="12.5703125" style="5" customWidth="1"/>
    <col min="47" max="47" width="3.5703125" style="5" customWidth="1"/>
    <col min="48" max="48" width="14.85546875" style="5" customWidth="1"/>
    <col min="49" max="49" width="13.140625" style="5" customWidth="1"/>
    <col min="50" max="50" width="17.5703125" style="5" customWidth="1"/>
    <col min="51" max="51" width="12.85546875" style="5" customWidth="1"/>
    <col min="52" max="52" width="14.140625" style="5" customWidth="1"/>
    <col min="53" max="53" width="13.5703125" style="5" customWidth="1"/>
    <col min="54" max="54" width="14.7109375" style="5" customWidth="1"/>
    <col min="55" max="55" width="15" style="5" customWidth="1"/>
    <col min="56" max="56" width="3.5703125" style="5" customWidth="1"/>
    <col min="57" max="57" width="13.140625" style="5" hidden="1" customWidth="1"/>
    <col min="58" max="58" width="19.85546875" style="5" hidden="1" customWidth="1"/>
    <col min="59" max="59" width="14" style="5" hidden="1" customWidth="1"/>
    <col min="60" max="60" width="13.140625" style="5" hidden="1" customWidth="1"/>
    <col min="61" max="61" width="8.140625" style="5" customWidth="1"/>
    <col min="62" max="62" width="7.28515625" style="5" customWidth="1"/>
    <col min="63" max="64" width="13.140625" style="5" customWidth="1"/>
    <col min="65" max="65" width="13.42578125" style="5" customWidth="1"/>
    <col min="66" max="66" width="13.28515625" style="5" customWidth="1"/>
    <col min="67" max="67" width="12.42578125" style="5" customWidth="1"/>
    <col min="68" max="68" width="13.42578125" style="5" customWidth="1"/>
    <col min="69" max="69" width="11.85546875" style="5" customWidth="1"/>
    <col min="70" max="70" width="11.7109375" style="5" customWidth="1"/>
    <col min="71" max="71" width="11.42578125" style="5" customWidth="1"/>
    <col min="72" max="72" width="13.85546875" style="5" customWidth="1"/>
    <col min="73" max="73" width="14" style="5" customWidth="1"/>
    <col min="74" max="75" width="11.7109375" style="5" customWidth="1"/>
    <col min="76" max="76" width="12.28515625" style="5" customWidth="1"/>
    <col min="77" max="77" width="12" style="5" customWidth="1"/>
    <col min="78" max="79" width="12.7109375" style="5" customWidth="1"/>
    <col min="80" max="80" width="1.140625" style="5" customWidth="1"/>
    <col min="81" max="81" width="13.5703125" style="5" customWidth="1"/>
    <col min="82" max="82" width="13.140625" style="5" customWidth="1"/>
    <col min="83" max="83" width="12.85546875" style="5" customWidth="1"/>
    <col min="84" max="84" width="11.7109375" style="5" customWidth="1"/>
    <col min="85" max="86" width="12" style="5" customWidth="1"/>
    <col min="87" max="16384" width="9.28515625" style="5"/>
  </cols>
  <sheetData>
    <row r="1" spans="1:86" ht="26.25" customHeight="1" x14ac:dyDescent="0.35">
      <c r="A1" s="1"/>
      <c r="B1" s="1" t="s">
        <v>0</v>
      </c>
      <c r="C1" s="1"/>
      <c r="D1" s="1"/>
      <c r="E1" s="1"/>
      <c r="F1" s="1" t="s">
        <v>1</v>
      </c>
      <c r="G1" s="1"/>
      <c r="H1" s="1" t="s">
        <v>0</v>
      </c>
      <c r="I1" s="1"/>
      <c r="J1" s="1"/>
      <c r="K1" s="1"/>
      <c r="L1" s="3" t="s">
        <v>200</v>
      </c>
      <c r="N1" s="1"/>
      <c r="O1" s="1"/>
      <c r="P1" s="1"/>
      <c r="Q1" s="1"/>
      <c r="R1" s="1"/>
      <c r="S1" s="1"/>
      <c r="T1" s="1"/>
      <c r="U1" s="1"/>
      <c r="V1" s="1"/>
      <c r="W1" s="1"/>
      <c r="X1" s="4" t="s">
        <v>2</v>
      </c>
      <c r="Y1" s="1"/>
      <c r="AA1" s="1"/>
      <c r="AB1" s="1" t="s">
        <v>0</v>
      </c>
      <c r="AC1" s="1"/>
      <c r="AD1" s="1"/>
      <c r="AE1" s="1"/>
      <c r="AF1" s="1" t="s">
        <v>1</v>
      </c>
      <c r="AG1" s="1" t="s">
        <v>0</v>
      </c>
      <c r="AH1" s="1"/>
      <c r="AI1" s="1"/>
      <c r="AJ1" s="1"/>
      <c r="AK1" s="3" t="s">
        <v>121</v>
      </c>
      <c r="AM1" s="1"/>
      <c r="AN1" s="1"/>
      <c r="AO1" s="1"/>
      <c r="AP1" s="1"/>
      <c r="AQ1" s="1"/>
      <c r="AR1" s="1"/>
      <c r="AS1" s="4" t="s">
        <v>2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spans="1:86" ht="22.5" customHeight="1" x14ac:dyDescent="0.3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211" t="s">
        <v>296</v>
      </c>
      <c r="O2" s="6"/>
      <c r="P2" s="1"/>
      <c r="Q2" s="1"/>
      <c r="R2" s="1"/>
      <c r="S2" s="1"/>
      <c r="T2" s="1"/>
      <c r="U2" s="1"/>
      <c r="V2" s="1"/>
      <c r="W2" s="1"/>
      <c r="X2" s="4" t="s">
        <v>3</v>
      </c>
      <c r="Y2" s="1"/>
      <c r="AA2" s="1"/>
      <c r="AB2" s="1" t="s">
        <v>0</v>
      </c>
      <c r="AC2" s="1"/>
      <c r="AD2" s="1"/>
      <c r="AE2" s="1"/>
      <c r="AF2" s="1"/>
      <c r="AG2" s="228"/>
      <c r="AH2" s="1"/>
      <c r="AI2" s="1"/>
      <c r="AJ2" s="1"/>
      <c r="AK2" s="1"/>
      <c r="AM2" s="229"/>
      <c r="AN2" s="6"/>
      <c r="AO2" s="1"/>
      <c r="AP2" s="229" t="s">
        <v>189</v>
      </c>
      <c r="AQ2" s="1"/>
      <c r="AR2" s="1"/>
      <c r="AS2" s="4" t="s">
        <v>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86" ht="19.5" customHeight="1" x14ac:dyDescent="0.3">
      <c r="A3" s="1"/>
      <c r="B3" s="1"/>
      <c r="C3" s="1"/>
      <c r="D3" s="42" t="s">
        <v>30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A3" s="505"/>
      <c r="AB3" s="211" t="str">
        <f>M2</f>
        <v>APR 2026</v>
      </c>
      <c r="AC3" s="1"/>
      <c r="AD3" s="214"/>
      <c r="AE3" s="45" t="s">
        <v>61</v>
      </c>
      <c r="AF3" s="1"/>
      <c r="AG3" s="228">
        <v>17.5</v>
      </c>
      <c r="AH3" s="1"/>
      <c r="AI3" s="1"/>
      <c r="AJ3" s="1"/>
      <c r="AK3" s="1"/>
      <c r="AL3" s="1">
        <v>22.74</v>
      </c>
      <c r="AN3" s="1"/>
      <c r="AO3" s="1"/>
      <c r="AP3" s="229">
        <v>511.3</v>
      </c>
      <c r="AQ3" s="1"/>
      <c r="AR3" s="1"/>
      <c r="AS3" s="1"/>
      <c r="AT3" s="1"/>
      <c r="AU3" s="1"/>
      <c r="AV3" s="480" t="str">
        <f>AB3</f>
        <v>APR 2026</v>
      </c>
      <c r="AW3" s="27"/>
      <c r="AX3" s="27"/>
      <c r="AY3" s="27"/>
      <c r="AZ3" s="27"/>
      <c r="BA3" s="27"/>
      <c r="BB3" s="229">
        <v>318</v>
      </c>
      <c r="BD3" s="1"/>
      <c r="BE3" s="1"/>
      <c r="BF3" s="1"/>
      <c r="BG3" s="1"/>
      <c r="BH3" s="1"/>
      <c r="BI3" s="6" t="s">
        <v>154</v>
      </c>
      <c r="BJ3" s="1"/>
      <c r="BK3" s="5" t="s">
        <v>62</v>
      </c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D3" s="1"/>
      <c r="CE3" s="1"/>
      <c r="CF3" s="1"/>
      <c r="CG3" s="1"/>
      <c r="CH3" s="1"/>
    </row>
    <row r="4" spans="1:86" ht="20.100000000000001" customHeight="1" x14ac:dyDescent="0.25">
      <c r="A4" s="1"/>
      <c r="B4" s="7"/>
      <c r="C4" s="8" t="s">
        <v>4</v>
      </c>
      <c r="D4" s="9" t="s">
        <v>5</v>
      </c>
      <c r="E4" s="8" t="s">
        <v>6</v>
      </c>
      <c r="F4" s="9" t="s">
        <v>7</v>
      </c>
      <c r="G4" s="10" t="s">
        <v>130</v>
      </c>
      <c r="H4" s="10" t="s">
        <v>8</v>
      </c>
      <c r="I4" s="9" t="s">
        <v>9</v>
      </c>
      <c r="J4" s="8" t="s">
        <v>10</v>
      </c>
      <c r="K4" s="9" t="s">
        <v>156</v>
      </c>
      <c r="L4" s="8" t="s">
        <v>66</v>
      </c>
      <c r="M4" s="8" t="s">
        <v>12</v>
      </c>
      <c r="N4" s="9" t="s">
        <v>13</v>
      </c>
      <c r="O4" s="8" t="s">
        <v>14</v>
      </c>
      <c r="P4" s="8" t="s">
        <v>72</v>
      </c>
      <c r="Q4" s="9" t="s">
        <v>16</v>
      </c>
      <c r="R4" s="8" t="s">
        <v>17</v>
      </c>
      <c r="S4" s="9" t="s">
        <v>18</v>
      </c>
      <c r="T4" s="8" t="s">
        <v>19</v>
      </c>
      <c r="U4" s="10" t="s">
        <v>20</v>
      </c>
      <c r="V4" s="9" t="s">
        <v>21</v>
      </c>
      <c r="W4" s="236" t="s">
        <v>21</v>
      </c>
      <c r="X4" s="9" t="s">
        <v>22</v>
      </c>
      <c r="Y4" s="12" t="s">
        <v>23</v>
      </c>
      <c r="AA4" s="13"/>
      <c r="AB4" s="7"/>
      <c r="AC4" s="8" t="s">
        <v>4</v>
      </c>
      <c r="AD4" s="9" t="s">
        <v>5</v>
      </c>
      <c r="AE4" s="8" t="s">
        <v>6</v>
      </c>
      <c r="AF4" s="9" t="s">
        <v>7</v>
      </c>
      <c r="AG4" s="10" t="s">
        <v>8</v>
      </c>
      <c r="AH4" s="9" t="s">
        <v>9</v>
      </c>
      <c r="AI4" s="8" t="s">
        <v>10</v>
      </c>
      <c r="AJ4" s="9" t="s">
        <v>156</v>
      </c>
      <c r="AK4" s="8" t="s">
        <v>66</v>
      </c>
      <c r="AL4" s="8" t="s">
        <v>12</v>
      </c>
      <c r="AM4" s="9" t="s">
        <v>13</v>
      </c>
      <c r="AN4" s="8" t="s">
        <v>14</v>
      </c>
      <c r="AO4" s="8" t="s">
        <v>72</v>
      </c>
      <c r="AP4" s="9" t="s">
        <v>16</v>
      </c>
      <c r="AQ4" s="8" t="s">
        <v>17</v>
      </c>
      <c r="AR4" s="9" t="s">
        <v>18</v>
      </c>
      <c r="AS4" s="8" t="s">
        <v>19</v>
      </c>
      <c r="AT4" s="8" t="s">
        <v>20</v>
      </c>
      <c r="AU4" s="14"/>
      <c r="AV4" s="768" t="s">
        <v>127</v>
      </c>
      <c r="AW4" s="768"/>
      <c r="AX4" s="768" t="s">
        <v>147</v>
      </c>
      <c r="AY4" s="768"/>
      <c r="AZ4" s="768" t="s">
        <v>148</v>
      </c>
      <c r="BA4" s="768"/>
      <c r="BB4" s="768" t="s">
        <v>162</v>
      </c>
      <c r="BC4" s="769"/>
      <c r="BD4" s="445"/>
      <c r="BE4" s="770" t="s">
        <v>176</v>
      </c>
      <c r="BF4" s="771"/>
      <c r="BG4" s="771"/>
      <c r="BH4" s="772"/>
      <c r="BI4" s="7"/>
      <c r="BJ4" s="8" t="s">
        <v>4</v>
      </c>
      <c r="BK4" s="8" t="s">
        <v>5</v>
      </c>
      <c r="BL4" s="8" t="s">
        <v>6</v>
      </c>
      <c r="BM4" s="9" t="s">
        <v>7</v>
      </c>
      <c r="BN4" s="10" t="s">
        <v>8</v>
      </c>
      <c r="BO4" s="9" t="s">
        <v>9</v>
      </c>
      <c r="BP4" s="8" t="s">
        <v>10</v>
      </c>
      <c r="BQ4" s="9" t="s">
        <v>11</v>
      </c>
      <c r="BR4" s="8" t="s">
        <v>66</v>
      </c>
      <c r="BS4" s="8" t="s">
        <v>12</v>
      </c>
      <c r="BT4" s="9" t="s">
        <v>13</v>
      </c>
      <c r="BU4" s="8" t="s">
        <v>14</v>
      </c>
      <c r="BV4" s="8" t="s">
        <v>72</v>
      </c>
      <c r="BW4" s="9" t="s">
        <v>16</v>
      </c>
      <c r="BX4" s="8" t="s">
        <v>17</v>
      </c>
      <c r="BY4" s="9" t="s">
        <v>18</v>
      </c>
      <c r="BZ4" s="8" t="s">
        <v>19</v>
      </c>
      <c r="CA4" s="8" t="s">
        <v>20</v>
      </c>
      <c r="CB4" s="14"/>
      <c r="CD4" s="1"/>
      <c r="CE4" s="1"/>
      <c r="CF4" s="1"/>
      <c r="CG4" s="1"/>
      <c r="CH4" s="1"/>
    </row>
    <row r="5" spans="1:86" ht="19.5" customHeight="1" x14ac:dyDescent="0.25">
      <c r="A5" s="1"/>
      <c r="B5" s="14" t="s">
        <v>24</v>
      </c>
      <c r="C5" s="15" t="s">
        <v>25</v>
      </c>
      <c r="D5" s="16">
        <v>115</v>
      </c>
      <c r="E5" s="17">
        <v>52.375</v>
      </c>
      <c r="F5" s="16">
        <v>24</v>
      </c>
      <c r="G5" s="17">
        <v>17.167999999999999</v>
      </c>
      <c r="H5" s="17">
        <v>17.100000000000001</v>
      </c>
      <c r="I5" s="16">
        <v>13.85</v>
      </c>
      <c r="J5" s="17">
        <v>15.5</v>
      </c>
      <c r="K5" s="16">
        <v>13.5</v>
      </c>
      <c r="L5" s="17">
        <v>4.3</v>
      </c>
      <c r="M5" s="17">
        <v>6.8</v>
      </c>
      <c r="N5" s="16">
        <v>3.4</v>
      </c>
      <c r="O5" s="17">
        <v>2.1800000000000002</v>
      </c>
      <c r="P5" s="17">
        <v>1.69</v>
      </c>
      <c r="Q5" s="16">
        <v>1.43</v>
      </c>
      <c r="R5" s="17">
        <v>0.99</v>
      </c>
      <c r="S5" s="16">
        <v>0.86</v>
      </c>
      <c r="T5" s="17">
        <v>0.36299999999999999</v>
      </c>
      <c r="U5" s="17">
        <v>0.29799999999999999</v>
      </c>
      <c r="V5" s="16" t="s">
        <v>26</v>
      </c>
      <c r="W5" s="237" t="s">
        <v>71</v>
      </c>
      <c r="X5" s="16" t="s">
        <v>27</v>
      </c>
      <c r="Y5" s="19" t="s">
        <v>28</v>
      </c>
      <c r="Z5" s="20"/>
      <c r="AA5" s="13"/>
      <c r="AB5" s="14" t="s">
        <v>24</v>
      </c>
      <c r="AC5" s="15" t="s">
        <v>25</v>
      </c>
      <c r="AD5" s="16">
        <v>115</v>
      </c>
      <c r="AE5" s="17">
        <v>52.375</v>
      </c>
      <c r="AF5" s="16">
        <v>24</v>
      </c>
      <c r="AG5" s="17">
        <v>17.100000000000001</v>
      </c>
      <c r="AH5" s="16">
        <v>13.85</v>
      </c>
      <c r="AI5" s="17">
        <v>15.5</v>
      </c>
      <c r="AJ5" s="16">
        <v>13.5</v>
      </c>
      <c r="AK5" s="17">
        <v>4.3</v>
      </c>
      <c r="AL5" s="17">
        <v>6.8</v>
      </c>
      <c r="AM5" s="16">
        <v>3.4</v>
      </c>
      <c r="AN5" s="17">
        <v>2.1800000000000002</v>
      </c>
      <c r="AO5" s="17">
        <v>1.69</v>
      </c>
      <c r="AP5" s="16">
        <v>1.43</v>
      </c>
      <c r="AQ5" s="17">
        <v>0.99</v>
      </c>
      <c r="AR5" s="16">
        <v>0.86</v>
      </c>
      <c r="AS5" s="17">
        <v>0.36299999999999999</v>
      </c>
      <c r="AT5" s="17">
        <v>0.29799999999999999</v>
      </c>
      <c r="AU5" s="448"/>
      <c r="AV5" s="475" t="s">
        <v>126</v>
      </c>
      <c r="AW5" s="475" t="s">
        <v>149</v>
      </c>
      <c r="AX5" s="475" t="s">
        <v>126</v>
      </c>
      <c r="AY5" s="475" t="s">
        <v>149</v>
      </c>
      <c r="AZ5" s="475" t="s">
        <v>126</v>
      </c>
      <c r="BA5" s="475" t="s">
        <v>149</v>
      </c>
      <c r="BB5" s="475" t="s">
        <v>126</v>
      </c>
      <c r="BC5" s="476" t="s">
        <v>149</v>
      </c>
      <c r="BD5" s="18"/>
      <c r="BE5" s="17"/>
      <c r="BF5" s="17"/>
      <c r="BG5" s="17"/>
      <c r="BH5" s="17"/>
      <c r="BI5" s="14" t="s">
        <v>24</v>
      </c>
      <c r="BJ5" s="15" t="s">
        <v>25</v>
      </c>
      <c r="BK5" s="17">
        <v>115</v>
      </c>
      <c r="BL5" s="17">
        <v>52.375</v>
      </c>
      <c r="BM5" s="16">
        <v>24</v>
      </c>
      <c r="BN5" s="17">
        <v>17.100000000000001</v>
      </c>
      <c r="BO5" s="16">
        <v>13.8</v>
      </c>
      <c r="BP5" s="17">
        <v>15.5</v>
      </c>
      <c r="BQ5" s="16">
        <v>13.5</v>
      </c>
      <c r="BR5" s="17">
        <v>4.3</v>
      </c>
      <c r="BS5" s="17">
        <v>6.8</v>
      </c>
      <c r="BT5" s="16">
        <v>3.4</v>
      </c>
      <c r="BU5" s="17">
        <v>2.1800000000000002</v>
      </c>
      <c r="BV5" s="17">
        <v>1.69</v>
      </c>
      <c r="BW5" s="16">
        <v>1.43</v>
      </c>
      <c r="BX5" s="17">
        <v>0.99</v>
      </c>
      <c r="BY5" s="16">
        <v>0.86</v>
      </c>
      <c r="BZ5" s="17">
        <v>0.36299999999999999</v>
      </c>
      <c r="CA5" s="17">
        <v>0.29799999999999999</v>
      </c>
      <c r="CB5" s="448"/>
      <c r="CD5" s="1"/>
      <c r="CE5" s="1"/>
      <c r="CF5" s="1"/>
      <c r="CG5" s="1"/>
      <c r="CH5" s="1"/>
    </row>
    <row r="6" spans="1:86" ht="20.100000000000001" customHeight="1" x14ac:dyDescent="0.25">
      <c r="A6" s="1"/>
      <c r="B6" s="22"/>
      <c r="C6" s="15" t="s">
        <v>29</v>
      </c>
      <c r="D6" s="1"/>
      <c r="E6" s="23"/>
      <c r="F6" s="1"/>
      <c r="G6" s="23"/>
      <c r="H6" s="23"/>
      <c r="I6" s="1"/>
      <c r="J6" s="23"/>
      <c r="K6" s="1"/>
      <c r="L6" s="23"/>
      <c r="M6" s="23"/>
      <c r="N6" s="1"/>
      <c r="O6" s="23"/>
      <c r="P6" s="23"/>
      <c r="Q6" s="1"/>
      <c r="R6" s="23"/>
      <c r="S6" s="1"/>
      <c r="T6" s="23"/>
      <c r="U6" s="23"/>
      <c r="V6" s="1"/>
      <c r="W6" s="238"/>
      <c r="X6" s="4" t="s">
        <v>30</v>
      </c>
      <c r="Y6" s="24" t="s">
        <v>31</v>
      </c>
      <c r="AA6" s="13"/>
      <c r="AB6" s="22"/>
      <c r="AC6" s="15" t="s">
        <v>29</v>
      </c>
      <c r="AD6" s="1"/>
      <c r="AE6" s="23"/>
      <c r="AF6" s="1"/>
      <c r="AG6" s="23"/>
      <c r="AH6" s="1"/>
      <c r="AI6" s="23"/>
      <c r="AJ6" s="1"/>
      <c r="AK6" s="23"/>
      <c r="AL6" s="23"/>
      <c r="AM6" s="1"/>
      <c r="AN6" s="23"/>
      <c r="AO6" s="23"/>
      <c r="AP6" s="1"/>
      <c r="AQ6" s="23"/>
      <c r="AR6" s="1"/>
      <c r="AS6" s="23"/>
      <c r="AT6" s="23"/>
      <c r="AU6" s="22"/>
      <c r="AV6" s="477"/>
      <c r="AW6" s="10"/>
      <c r="AX6" s="477"/>
      <c r="AY6" s="10"/>
      <c r="AZ6" s="477"/>
      <c r="BA6" s="10"/>
      <c r="BB6" s="477"/>
      <c r="BC6" s="478"/>
      <c r="BD6" s="473"/>
      <c r="BE6" s="17" t="s">
        <v>146</v>
      </c>
      <c r="BF6" s="23" t="s">
        <v>174</v>
      </c>
      <c r="BG6" s="15" t="s">
        <v>175</v>
      </c>
      <c r="BH6" s="17" t="s">
        <v>171</v>
      </c>
      <c r="BI6" s="22"/>
      <c r="BJ6" s="15" t="s">
        <v>29</v>
      </c>
      <c r="BK6" s="23"/>
      <c r="BL6" s="23"/>
      <c r="BM6" s="1"/>
      <c r="BN6" s="23"/>
      <c r="BO6" s="1"/>
      <c r="BP6" s="23"/>
      <c r="BQ6" s="1"/>
      <c r="BR6" s="23"/>
      <c r="BS6" s="23"/>
      <c r="BT6" s="1"/>
      <c r="BU6" s="23"/>
      <c r="BV6" s="23"/>
      <c r="BW6" s="1"/>
      <c r="BX6" s="23"/>
      <c r="BY6" s="1"/>
      <c r="BZ6" s="23"/>
      <c r="CA6" s="23"/>
      <c r="CB6" s="22"/>
      <c r="CD6" s="1"/>
      <c r="CE6" s="1"/>
      <c r="CF6" s="1"/>
      <c r="CG6" s="1"/>
      <c r="CH6" s="1"/>
    </row>
    <row r="7" spans="1:86" ht="20.100000000000001" customHeight="1" x14ac:dyDescent="0.35">
      <c r="A7" s="1"/>
      <c r="B7" s="25"/>
      <c r="C7" s="26"/>
      <c r="D7" s="27"/>
      <c r="E7" s="26"/>
      <c r="F7" s="27"/>
      <c r="G7" s="26"/>
      <c r="H7" s="26"/>
      <c r="I7" s="27"/>
      <c r="J7" s="26"/>
      <c r="K7" s="27"/>
      <c r="L7" s="26"/>
      <c r="M7" s="26"/>
      <c r="N7" s="27"/>
      <c r="O7" s="26"/>
      <c r="P7" s="26"/>
      <c r="Q7" s="27"/>
      <c r="R7" s="26"/>
      <c r="S7" s="27"/>
      <c r="T7" s="26"/>
      <c r="U7" s="26"/>
      <c r="V7" s="27"/>
      <c r="W7" s="239"/>
      <c r="X7" s="27"/>
      <c r="Y7" s="28"/>
      <c r="AA7" s="13"/>
      <c r="AB7" s="25"/>
      <c r="AC7" s="26"/>
      <c r="AD7" s="27"/>
      <c r="AE7" s="26"/>
      <c r="AF7" s="27"/>
      <c r="AG7" s="26"/>
      <c r="AH7" s="500"/>
      <c r="AI7" s="565"/>
      <c r="AJ7" s="27"/>
      <c r="AK7" s="546"/>
      <c r="AL7" s="26"/>
      <c r="AM7" s="27"/>
      <c r="AN7" s="26"/>
      <c r="AO7" s="26"/>
      <c r="AP7" s="27"/>
      <c r="AQ7" s="26"/>
      <c r="AR7" s="26"/>
      <c r="AS7" s="26"/>
      <c r="AT7" s="26"/>
      <c r="AU7" s="22"/>
      <c r="AV7" s="23"/>
      <c r="AW7" s="23"/>
      <c r="AX7" s="23"/>
      <c r="AY7" s="23"/>
      <c r="AZ7" s="23"/>
      <c r="BA7" s="23"/>
      <c r="BB7" s="23"/>
      <c r="BC7" s="479"/>
      <c r="BD7" s="28"/>
      <c r="BE7" s="26"/>
      <c r="BF7" s="26"/>
      <c r="BG7" s="26"/>
      <c r="BH7" s="26"/>
      <c r="BI7" s="25"/>
      <c r="BJ7" s="26"/>
      <c r="BK7" s="26"/>
      <c r="BL7" s="26"/>
      <c r="BM7" s="27"/>
      <c r="BN7" s="26"/>
      <c r="BO7" s="27"/>
      <c r="BP7" s="26"/>
      <c r="BQ7" s="27"/>
      <c r="BR7" s="26"/>
      <c r="BS7" s="26"/>
      <c r="BT7" s="27"/>
      <c r="BU7" s="26"/>
      <c r="BV7" s="26"/>
      <c r="BW7" s="27"/>
      <c r="BX7" s="26"/>
      <c r="BY7" s="27"/>
      <c r="BZ7" s="26"/>
      <c r="CA7" s="26"/>
      <c r="CB7" s="22"/>
      <c r="CD7" s="1"/>
      <c r="CE7" s="1"/>
      <c r="CF7" s="1"/>
      <c r="CG7" s="1"/>
      <c r="CH7" s="1"/>
    </row>
    <row r="8" spans="1:86" ht="27" customHeight="1" x14ac:dyDescent="0.35">
      <c r="A8" s="1"/>
      <c r="B8" s="29">
        <v>1</v>
      </c>
      <c r="C8" s="584" t="s">
        <v>190</v>
      </c>
      <c r="D8" s="21">
        <f t="shared" ref="D8:D9" si="0">ROUND(IF(AD8&lt;205,SUM(-320030000,6636771*AD8,-46046*AD8^2,106.62*AD8^3),SUM(91660160,1216002*AD8,-22168*AD8^2,71.366*AD8^3))/1000000,3)</f>
        <v>34.078000000000003</v>
      </c>
      <c r="E8" s="97">
        <f t="shared" ref="E8:E9" si="1">ROUND((6669048.41-363409.186*AE8-307.876*AE8^2+152.3398*AE8^3)/1000000,3)</f>
        <v>17.998999999999999</v>
      </c>
      <c r="F8" s="97">
        <f t="shared" ref="F8:F9" si="2">ROUND((-98334930.2+3037042.21*AF8-30615.40767*AF8^2+101.23056*AF8^3)/1000000,3)</f>
        <v>9.6620000000000008</v>
      </c>
      <c r="G8" s="97">
        <f t="shared" ref="G8:G9" si="3">AW8</f>
        <v>7.6580000000000004</v>
      </c>
      <c r="H8" s="97">
        <f t="shared" ref="H8:H9" si="4">ROUND((-174502023+4277428*AG8-35009.373*AG8^2+95.58911*AG8^3)/1000000-0.096,3)</f>
        <v>1.964</v>
      </c>
      <c r="I8" s="501">
        <f t="shared" ref="I8:I9" si="5">ROUND(IF(AH8&lt;318,SUM(3.5242*AH8^2-2140.3*AH8+325031)/1000,SUM(70242780-813889.6*AH8+7928.716*AH8^2-35.20719*AH8^3+0.05082853*AH8^4)/1000000)-0.059,3)</f>
        <v>1.9259999999999999</v>
      </c>
      <c r="J8" s="502">
        <f t="shared" ref="J8:J9" si="6">ROUND((-442650826+9751516.3*AI8-72042.8986*AI8^2+178.4049*AI8^3)/1000000,3)-0.071</f>
        <v>4.4550000000000001</v>
      </c>
      <c r="K8" s="97">
        <f t="shared" ref="K8:K9" si="7">ROUND(((4827852-139329.3*AJ8+2797.9*AJ8^2-98.98*AJ8^3+1.14*AJ8^4)/1000000),3)-0.05</f>
        <v>4.673</v>
      </c>
      <c r="L8" s="97">
        <f t="shared" ref="L8:L9" si="8">ROUND((IF(AK8&lt;424,SUM(5064.49*AK8^2-4133655.98*AK8+843517073.2),(7938.48*AK8^2-6579376.11*AK8+1363834719.7)))/1000000,3)</f>
        <v>1.474</v>
      </c>
      <c r="M8" s="706">
        <f t="shared" ref="M8:M9" si="9">ROUND((-8532018+1417757*AL8-72752.08*AL8^2+1191.92*AL8^3)/1000000,3)</f>
        <v>0.14299999999999999</v>
      </c>
      <c r="N8" s="97">
        <f t="shared" ref="N8" si="10">ROUND((-98293225+2791565*AM8-26671.1*AM8^2+85.56608*AM8^3)/1000000,3)-0.001</f>
        <v>1.6950000000000001</v>
      </c>
      <c r="O8" s="97">
        <f t="shared" ref="O8:O9" si="11">ROUND((-5101113+342273.3*AN8-5950.34*AN8^2+30.97425*AN8^3)/1000000,3)-0</f>
        <v>1.73</v>
      </c>
      <c r="P8" s="97">
        <f t="shared" ref="P8:P9" si="12">ROUND((352562346-2208805*AO8+3459.655*AO8^2)/1000000,3)-0</f>
        <v>1.0740000000000001</v>
      </c>
      <c r="Q8" s="717">
        <f t="shared" ref="Q8:Q9" si="13">ROUND((426242189-1669663*AP8+1635.186*AP8^2)/1000000,3)+0.033</f>
        <v>1.43</v>
      </c>
      <c r="R8" s="718">
        <f t="shared" ref="R8:R9" si="14">ROUND((2823894-25900.1*AQ8-1177.84*AQ8^2+13.979*AQ8^3)/1000000,3)-0.005</f>
        <v>0.99</v>
      </c>
      <c r="S8" s="718">
        <f t="shared" ref="S8:S9" si="15">ROUND((-11518534+483790.5*AR8-6823.11*AR8^2+32.24883*AR8^3)/1000000,3)+0</f>
        <v>0.86</v>
      </c>
      <c r="T8" s="717">
        <f t="shared" ref="T8:T9" si="16">ROUND((406066983-1465679*AS8+1322.517*AS8^2)/1000000,3)-0.001</f>
        <v>0.36299999999999999</v>
      </c>
      <c r="U8" s="717">
        <f t="shared" ref="U8:U9" si="17">ROUND((-13395930+388944*AT8-3702.68*AT8^2+11.59891*AT8^3)/1000000,3)-0</f>
        <v>0.29799999999999999</v>
      </c>
      <c r="V8" s="707">
        <f t="shared" ref="V8:V9" si="18">SUM(D8:U8)</f>
        <v>92.471999999999994</v>
      </c>
      <c r="W8" s="708">
        <f t="shared" ref="W8:W9" si="19">D8+H8+I8+J8+K8+L8+N8+M8</f>
        <v>50.408000000000001</v>
      </c>
      <c r="X8" s="33"/>
      <c r="Y8" s="31"/>
      <c r="AA8" s="35"/>
      <c r="AB8" s="30">
        <f t="shared" ref="AB8:AB9" si="20">B8</f>
        <v>1</v>
      </c>
      <c r="AC8" s="30" t="str">
        <f t="shared" ref="AC8:AC9" si="21">C8</f>
        <v>W</v>
      </c>
      <c r="AD8" s="575">
        <v>212.66</v>
      </c>
      <c r="AE8" s="576">
        <v>61.05</v>
      </c>
      <c r="AF8" s="577">
        <v>149.46</v>
      </c>
      <c r="AG8" s="576">
        <v>150.19999999999999</v>
      </c>
      <c r="AH8" s="575">
        <v>326.77</v>
      </c>
      <c r="AI8" s="576">
        <v>161.16999999999999</v>
      </c>
      <c r="AJ8" s="576">
        <v>75.540000000000006</v>
      </c>
      <c r="AK8" s="576">
        <v>424.92</v>
      </c>
      <c r="AL8" s="578">
        <f t="shared" ref="AL8:AL10" si="22">$AL$3+3.94</f>
        <v>26.68</v>
      </c>
      <c r="AM8" s="576">
        <v>129.15</v>
      </c>
      <c r="AN8" s="576">
        <v>109.7</v>
      </c>
      <c r="AO8" s="576">
        <v>336.75</v>
      </c>
      <c r="AP8" s="716">
        <v>539.5</v>
      </c>
      <c r="AQ8" s="716">
        <v>88.49</v>
      </c>
      <c r="AR8" s="716">
        <v>99.79</v>
      </c>
      <c r="AS8" s="716">
        <v>571.1</v>
      </c>
      <c r="AT8" s="716">
        <v>139.6</v>
      </c>
      <c r="AU8" s="578"/>
      <c r="AV8" s="576">
        <v>400.63</v>
      </c>
      <c r="AW8" s="579">
        <v>7.6580000000000004</v>
      </c>
      <c r="AX8" s="580">
        <v>404.95</v>
      </c>
      <c r="AY8" s="579">
        <v>2.7850000000000001</v>
      </c>
      <c r="AZ8" s="716">
        <v>397.8</v>
      </c>
      <c r="BA8" s="719">
        <v>2</v>
      </c>
      <c r="BB8" s="716">
        <v>359.5</v>
      </c>
      <c r="BC8" s="720">
        <f t="shared" ref="BC8:BC9" si="23">(2261.87*BB8^2-1423337.72*BB8+223819398.05)/1000000</f>
        <v>4.4541319775000217</v>
      </c>
      <c r="BD8" s="474"/>
      <c r="BE8" s="95"/>
      <c r="BF8" s="36"/>
      <c r="BG8" s="36"/>
      <c r="BH8" s="95"/>
      <c r="BI8" s="14">
        <v>1</v>
      </c>
      <c r="BJ8" s="15"/>
      <c r="BK8" s="210">
        <f t="shared" ref="BK8:BK41" si="24">-4552010+77862.43*AD8-528.064*AD8^2+1.3857*AD8^3</f>
        <v>1451725.9814739246</v>
      </c>
      <c r="BL8" s="210">
        <f t="shared" ref="BL8:BL41" si="25">-3210651+145404.1*AE8-2052.163*AE8^2+14.3568*AE8^3</f>
        <v>1284388.0960431001</v>
      </c>
      <c r="BM8" s="210">
        <f t="shared" ref="BM8:BM41" si="26">IF(BK8&lt;140,-737886.6-3612.887*AF8+84.47319*AF8^2,7040924-115283.7*AF8+485.2715*AF8^2)</f>
        <v>650758.4701694008</v>
      </c>
      <c r="BN8" s="210">
        <f t="shared" ref="BN8:BN41" si="27">4001977-66502.13*AG8+275.558*AG8^2</f>
        <v>229956.57631999999</v>
      </c>
      <c r="BO8" s="210">
        <f t="shared" ref="BO8:BO41" si="28">12256870-84903.96*AH8+146.7551*AH8^2</f>
        <v>183111.93990278803</v>
      </c>
      <c r="BP8" s="210">
        <f t="shared" ref="BP8:BP41" si="29">9095248-135970.3*AI8+510.0572*AI8^2</f>
        <v>430042.70198108442</v>
      </c>
      <c r="BQ8" s="210">
        <f t="shared" ref="BQ8:BQ41" si="30">IF(BO8&lt;73.2,-180.3+3.1*AJ8,312.46-10.83*AJ8+0.098*AJ8^2)*10000</f>
        <v>535783.76800000167</v>
      </c>
      <c r="BR8" s="210">
        <f t="shared" ref="BR8:BR40" si="31">(219.28*AK8^2-173172.2*AK8+34168761.89)</f>
        <v>176971.02939199656</v>
      </c>
      <c r="BS8" s="210">
        <f t="shared" ref="BS8:BS40" si="32">5190570-498758.9*AL8+14528.53*AL8^2-112.5*AL8^3</f>
        <v>88880.707472001202</v>
      </c>
      <c r="BT8" s="210">
        <f t="shared" ref="BT8:BT41" si="33">(207.86-3.07416*AM8+0.00297*AM8^2+0.000073*AM8^3)*10000</f>
        <v>176266.01568875031</v>
      </c>
      <c r="BU8" s="210">
        <f t="shared" ref="BU8:BU40" si="34">(412.37-12.56*AN8+0.12278*AN8^2-0.000376*AN8^3)*10000</f>
        <v>157110.53151999862</v>
      </c>
      <c r="BV8" s="210">
        <f t="shared" ref="BV8:BV40" si="35">(5708324-41094.23*AO8+72.7745*AO8^2)</f>
        <v>122511.28315624967</v>
      </c>
      <c r="BW8" s="210">
        <f t="shared" ref="BW8:BW41" si="36">(1307.749-5.30998*AP8+0.005386*AP8^2)*10000</f>
        <v>106652.96500000068</v>
      </c>
      <c r="BX8" s="210">
        <f t="shared" ref="BX8:BX40" si="37">(33.36079-1.57235*AQ8+0.020673*AQ8^2-0.000067*AQ8^3)*10000</f>
        <v>96774.682760169875</v>
      </c>
      <c r="BY8" s="210">
        <f t="shared" ref="BY8:BY40" si="38">(-106.619+3.872392*AR8-0.0491*AR8^2+0.000219*AR8^3)*10000</f>
        <v>84902.277118409867</v>
      </c>
      <c r="BZ8" s="210">
        <f t="shared" ref="BZ8:BZ40" si="39">(-2923.33+10.10447*AS8-0.00872*AS8^2)*10000</f>
        <v>32593.857999991087</v>
      </c>
      <c r="CA8" s="210">
        <f t="shared" ref="CA8:CA40" si="40">(149.6647-3.26844*AT8+0.02264*AT8^2-0.000048*AT8^3)*10000</f>
        <v>40161.558720000416</v>
      </c>
      <c r="CB8" s="592"/>
      <c r="CD8" s="1"/>
      <c r="CE8" s="1"/>
      <c r="CF8" s="1"/>
      <c r="CG8" s="1"/>
      <c r="CH8" s="1"/>
    </row>
    <row r="9" spans="1:86" ht="27" customHeight="1" x14ac:dyDescent="0.35">
      <c r="A9" s="1"/>
      <c r="B9" s="29">
        <v>2</v>
      </c>
      <c r="C9" s="30" t="s">
        <v>157</v>
      </c>
      <c r="D9" s="21">
        <f t="shared" si="0"/>
        <v>34.447000000000003</v>
      </c>
      <c r="E9" s="97">
        <f t="shared" si="1"/>
        <v>18.155000000000001</v>
      </c>
      <c r="F9" s="97">
        <f t="shared" si="2"/>
        <v>9.7560000000000002</v>
      </c>
      <c r="G9" s="97">
        <f t="shared" si="3"/>
        <v>7.7370000000000001</v>
      </c>
      <c r="H9" s="97">
        <f t="shared" si="4"/>
        <v>2.0339999999999998</v>
      </c>
      <c r="I9" s="501">
        <f t="shared" si="5"/>
        <v>1.944</v>
      </c>
      <c r="J9" s="502">
        <f t="shared" si="6"/>
        <v>4.5070000000000006</v>
      </c>
      <c r="K9" s="97">
        <f t="shared" si="7"/>
        <v>4.7960000000000003</v>
      </c>
      <c r="L9" s="97">
        <f t="shared" si="8"/>
        <v>1.51</v>
      </c>
      <c r="M9" s="706">
        <f t="shared" si="9"/>
        <v>0.14299999999999999</v>
      </c>
      <c r="N9" s="97">
        <f>ROUND((-98293225+2791565*AM9-26671.1*AM9^2+85.56608*AM9^3)/1000000,3)-0</f>
        <v>1.7330000000000001</v>
      </c>
      <c r="O9" s="97">
        <f t="shared" si="11"/>
        <v>1.734</v>
      </c>
      <c r="P9" s="97">
        <f t="shared" si="12"/>
        <v>1.105</v>
      </c>
      <c r="Q9" s="717">
        <f t="shared" si="13"/>
        <v>1.43</v>
      </c>
      <c r="R9" s="718">
        <f t="shared" si="14"/>
        <v>0.99</v>
      </c>
      <c r="S9" s="718">
        <f t="shared" si="15"/>
        <v>0.86</v>
      </c>
      <c r="T9" s="717">
        <f t="shared" si="16"/>
        <v>0.36299999999999999</v>
      </c>
      <c r="U9" s="717">
        <f t="shared" si="17"/>
        <v>0.29799999999999999</v>
      </c>
      <c r="V9" s="707">
        <f t="shared" si="18"/>
        <v>93.54200000000003</v>
      </c>
      <c r="W9" s="708">
        <f t="shared" si="19"/>
        <v>51.113999999999997</v>
      </c>
      <c r="X9" s="33"/>
      <c r="Y9" s="31"/>
      <c r="AA9" s="35"/>
      <c r="AB9" s="30">
        <f t="shared" si="20"/>
        <v>2</v>
      </c>
      <c r="AC9" s="30" t="str">
        <f t="shared" si="21"/>
        <v>T</v>
      </c>
      <c r="AD9" s="575">
        <v>212.91</v>
      </c>
      <c r="AE9" s="576">
        <v>61.17</v>
      </c>
      <c r="AF9" s="577">
        <v>149.6</v>
      </c>
      <c r="AG9" s="576">
        <v>150.5</v>
      </c>
      <c r="AH9" s="575">
        <v>326.87</v>
      </c>
      <c r="AI9" s="576">
        <v>161.29</v>
      </c>
      <c r="AJ9" s="576">
        <v>75.760000000000005</v>
      </c>
      <c r="AK9" s="576">
        <v>425.13</v>
      </c>
      <c r="AL9" s="578">
        <f t="shared" si="22"/>
        <v>26.68</v>
      </c>
      <c r="AM9" s="576">
        <v>129.35</v>
      </c>
      <c r="AN9" s="576">
        <v>109.73</v>
      </c>
      <c r="AO9" s="576">
        <v>337</v>
      </c>
      <c r="AP9" s="716">
        <v>539.5</v>
      </c>
      <c r="AQ9" s="716">
        <v>88.49</v>
      </c>
      <c r="AR9" s="716">
        <v>99.79</v>
      </c>
      <c r="AS9" s="716">
        <v>571.1</v>
      </c>
      <c r="AT9" s="716">
        <v>139.6</v>
      </c>
      <c r="AU9" s="578"/>
      <c r="AV9" s="576">
        <v>400.78</v>
      </c>
      <c r="AW9" s="579">
        <v>7.7370000000000001</v>
      </c>
      <c r="AX9" s="721">
        <v>405</v>
      </c>
      <c r="AY9" s="722">
        <v>2.8</v>
      </c>
      <c r="AZ9" s="716">
        <v>397.8</v>
      </c>
      <c r="BA9" s="719">
        <v>2</v>
      </c>
      <c r="BB9" s="716">
        <v>359.5</v>
      </c>
      <c r="BC9" s="720">
        <f t="shared" si="23"/>
        <v>4.4541319775000217</v>
      </c>
      <c r="BD9" s="474"/>
      <c r="BE9" s="246"/>
      <c r="BF9" s="36"/>
      <c r="BG9" s="36"/>
      <c r="BH9" s="246"/>
      <c r="BI9" s="14">
        <v>2</v>
      </c>
      <c r="BJ9" s="15"/>
      <c r="BK9" s="210">
        <f t="shared" si="24"/>
        <v>1462065.273585055</v>
      </c>
      <c r="BL9" s="210">
        <f t="shared" si="25"/>
        <v>1291039.9689404182</v>
      </c>
      <c r="BM9" s="210">
        <f t="shared" si="26"/>
        <v>654936.29344000109</v>
      </c>
      <c r="BN9" s="210">
        <f t="shared" si="27"/>
        <v>234864.02449999843</v>
      </c>
      <c r="BO9" s="210">
        <f t="shared" si="28"/>
        <v>184214.0442591887</v>
      </c>
      <c r="BP9" s="210">
        <f t="shared" si="29"/>
        <v>433463.03134652413</v>
      </c>
      <c r="BQ9" s="210">
        <f t="shared" si="30"/>
        <v>544578.04800000018</v>
      </c>
      <c r="BR9" s="210">
        <f t="shared" si="31"/>
        <v>179748.64983198792</v>
      </c>
      <c r="BS9" s="210">
        <f t="shared" si="32"/>
        <v>88880.707472001202</v>
      </c>
      <c r="BT9" s="210">
        <f t="shared" si="33"/>
        <v>178970.22352374988</v>
      </c>
      <c r="BU9" s="210">
        <f t="shared" si="34"/>
        <v>157351.56630807978</v>
      </c>
      <c r="BV9" s="210">
        <f t="shared" si="35"/>
        <v>124495.68049999885</v>
      </c>
      <c r="BW9" s="210">
        <f t="shared" si="36"/>
        <v>106652.96500000068</v>
      </c>
      <c r="BX9" s="210">
        <f t="shared" si="37"/>
        <v>96774.682760169875</v>
      </c>
      <c r="BY9" s="210">
        <f t="shared" si="38"/>
        <v>84902.277118409867</v>
      </c>
      <c r="BZ9" s="210">
        <f t="shared" si="39"/>
        <v>32593.857999991087</v>
      </c>
      <c r="CA9" s="210">
        <f t="shared" si="40"/>
        <v>40161.558720000416</v>
      </c>
      <c r="CB9" s="592"/>
      <c r="CD9" s="1"/>
      <c r="CE9" s="1"/>
      <c r="CF9" s="1"/>
      <c r="CG9" s="1"/>
      <c r="CH9" s="1"/>
    </row>
    <row r="10" spans="1:86" ht="27" customHeight="1" x14ac:dyDescent="0.35">
      <c r="A10" s="1"/>
      <c r="B10" s="29">
        <v>3</v>
      </c>
      <c r="C10" s="30" t="s">
        <v>191</v>
      </c>
      <c r="D10" s="21">
        <f t="shared" ref="D10" si="41">ROUND(IF(AD10&lt;205,SUM(-320030000,6636771*AD10,-46046*AD10^2,106.62*AD10^3),SUM(91660160,1216002*AD10,-22168*AD10^2,71.366*AD10^3))/1000000,3)</f>
        <v>35.014000000000003</v>
      </c>
      <c r="E10" s="97">
        <f t="shared" ref="E10" si="42">ROUND((6669048.41-363409.186*AE10-307.876*AE10^2+152.3398*AE10^3)/1000000,3)</f>
        <v>18.3</v>
      </c>
      <c r="F10" s="97">
        <f t="shared" ref="F10" si="43">ROUND((-98334930.2+3037042.21*AF10-30615.40767*AF10^2+101.23056*AF10^3)/1000000,3)</f>
        <v>9.83</v>
      </c>
      <c r="G10" s="97">
        <f t="shared" ref="G10" si="44">AW10</f>
        <v>7.7789999999999999</v>
      </c>
      <c r="H10" s="97">
        <f t="shared" ref="H10" si="45">ROUND((-174502023+4277428*AG10-35009.373*AG10^2+95.58911*AG10^3)/1000000-0.096,3)</f>
        <v>2.1659999999999999</v>
      </c>
      <c r="I10" s="501">
        <f t="shared" ref="I10" si="46">ROUND(IF(AH10&lt;318,SUM(3.5242*AH10^2-2140.3*AH10+325031)/1000,SUM(70242780-813889.6*AH10+7928.716*AH10^2-35.20719*AH10^3+0.05082853*AH10^4)/1000000)-0.059,3)</f>
        <v>2.0190000000000001</v>
      </c>
      <c r="J10" s="502">
        <f t="shared" ref="J10" si="47">ROUND((-442650826+9751516.3*AI10-72042.8986*AI10^2+178.4049*AI10^3)/1000000,3)-0.071</f>
        <v>4.6040000000000001</v>
      </c>
      <c r="K10" s="97">
        <f t="shared" ref="K10" si="48">ROUND(((4827852-139329.3*AJ10+2797.9*AJ10^2-98.98*AJ10^3+1.14*AJ10^4)/1000000),3)-0.05</f>
        <v>5.077</v>
      </c>
      <c r="L10" s="97">
        <f t="shared" ref="L10" si="49">ROUND((IF(AK10&lt;424,SUM(5064.49*AK10^2-4133655.98*AK10+843517073.2),(7938.48*AK10^2-6579376.11*AK10+1363834719.7)))/1000000,3)</f>
        <v>1.5740000000000001</v>
      </c>
      <c r="M10" s="706">
        <f t="shared" ref="M10" si="50">ROUND((-8532018+1417757*AL10-72752.08*AL10^2+1191.92*AL10^3)/1000000,3)</f>
        <v>0.14299999999999999</v>
      </c>
      <c r="N10" s="97">
        <f>ROUND((-98293225+2791565*AM10-26671.1*AM10^2+85.56608*AM10^3)/1000000,3)-0</f>
        <v>1.75</v>
      </c>
      <c r="O10" s="97">
        <f t="shared" ref="O10" si="51">ROUND((-5101113+342273.3*AN10-5950.34*AN10^2+30.97425*AN10^3)/1000000,3)-0</f>
        <v>1.75</v>
      </c>
      <c r="P10" s="97">
        <f t="shared" ref="P10" si="52">ROUND((352562346-2208805*AO10+3459.655*AO10^2)/1000000,3)-0</f>
        <v>1.1419999999999999</v>
      </c>
      <c r="Q10" s="717">
        <f t="shared" ref="Q10" si="53">ROUND((426242189-1669663*AP10+1635.186*AP10^2)/1000000,3)+0.033</f>
        <v>1.43</v>
      </c>
      <c r="R10" s="718">
        <f t="shared" ref="R10" si="54">ROUND((2823894-25900.1*AQ10-1177.84*AQ10^2+13.979*AQ10^3)/1000000,3)-0.005</f>
        <v>0.99</v>
      </c>
      <c r="S10" s="718">
        <f t="shared" ref="S10" si="55">ROUND((-11518534+483790.5*AR10-6823.11*AR10^2+32.24883*AR10^3)/1000000,3)+0</f>
        <v>0.86</v>
      </c>
      <c r="T10" s="717">
        <f t="shared" ref="T10" si="56">ROUND((406066983-1465679*AS10+1322.517*AS10^2)/1000000,3)-0.001</f>
        <v>0.36299999999999999</v>
      </c>
      <c r="U10" s="717">
        <f t="shared" ref="U10" si="57">ROUND((-13395930+388944*AT10-3702.68*AT10^2+11.59891*AT10^3)/1000000,3)-0</f>
        <v>0.29799999999999999</v>
      </c>
      <c r="V10" s="707">
        <f t="shared" ref="V10" si="58">SUM(D10:U10)</f>
        <v>95.088999999999999</v>
      </c>
      <c r="W10" s="708">
        <f t="shared" ref="W10" si="59">D10+H10+I10+J10+K10+L10+N10+M10</f>
        <v>52.346999999999994</v>
      </c>
      <c r="X10" s="33"/>
      <c r="Y10" s="31"/>
      <c r="Z10" s="452"/>
      <c r="AA10" s="35"/>
      <c r="AB10" s="30">
        <f t="shared" ref="AB10:AB41" si="60">B10</f>
        <v>3</v>
      </c>
      <c r="AC10" s="30" t="str">
        <f t="shared" ref="AC10:AC39" si="61">C10</f>
        <v>F</v>
      </c>
      <c r="AD10" s="575">
        <v>213.29</v>
      </c>
      <c r="AE10" s="576">
        <v>61.28</v>
      </c>
      <c r="AF10" s="577">
        <v>149.71</v>
      </c>
      <c r="AG10" s="576">
        <v>151.05000000000001</v>
      </c>
      <c r="AH10" s="575">
        <v>327.27</v>
      </c>
      <c r="AI10" s="576">
        <v>161.51</v>
      </c>
      <c r="AJ10" s="576">
        <v>76.25</v>
      </c>
      <c r="AK10" s="576">
        <v>425.5</v>
      </c>
      <c r="AL10" s="578">
        <f t="shared" si="22"/>
        <v>26.68</v>
      </c>
      <c r="AM10" s="576">
        <v>129.44</v>
      </c>
      <c r="AN10" s="576">
        <v>109.83</v>
      </c>
      <c r="AO10" s="576">
        <v>337.3</v>
      </c>
      <c r="AP10" s="716">
        <v>539.5</v>
      </c>
      <c r="AQ10" s="716">
        <v>88.49</v>
      </c>
      <c r="AR10" s="716">
        <v>99.79</v>
      </c>
      <c r="AS10" s="716">
        <v>571.1</v>
      </c>
      <c r="AT10" s="716">
        <v>139.6</v>
      </c>
      <c r="AU10" s="578"/>
      <c r="AV10" s="576">
        <v>400.86</v>
      </c>
      <c r="AW10" s="579">
        <v>7.7789999999999999</v>
      </c>
      <c r="AX10" s="721">
        <v>405</v>
      </c>
      <c r="AY10" s="722">
        <v>2.8</v>
      </c>
      <c r="AZ10" s="716">
        <v>397.8</v>
      </c>
      <c r="BA10" s="719">
        <v>2</v>
      </c>
      <c r="BB10" s="716">
        <v>359.5</v>
      </c>
      <c r="BC10" s="720">
        <f t="shared" ref="BC10" si="62">(2261.87*BB10^2-1423337.72*BB10+223819398.05)/1000000</f>
        <v>4.4541319775000217</v>
      </c>
      <c r="BD10" s="474"/>
      <c r="BE10" s="95"/>
      <c r="BF10" s="36"/>
      <c r="BG10" s="36"/>
      <c r="BH10" s="95"/>
      <c r="BI10" s="14">
        <v>3</v>
      </c>
      <c r="BJ10" s="15"/>
      <c r="BK10" s="210">
        <f t="shared" si="24"/>
        <v>1477866.5123038664</v>
      </c>
      <c r="BL10" s="210">
        <f t="shared" si="25"/>
        <v>1297152.2515342333</v>
      </c>
      <c r="BM10" s="210">
        <f t="shared" si="26"/>
        <v>658232.21383314952</v>
      </c>
      <c r="BN10" s="210">
        <f t="shared" si="27"/>
        <v>243989.83619500045</v>
      </c>
      <c r="BO10" s="210">
        <f t="shared" si="28"/>
        <v>188651.81270478852</v>
      </c>
      <c r="BP10" s="210">
        <f t="shared" si="29"/>
        <v>439771.78746172227</v>
      </c>
      <c r="BQ10" s="210">
        <f t="shared" si="30"/>
        <v>564506.24999999942</v>
      </c>
      <c r="BR10" s="210">
        <f t="shared" si="31"/>
        <v>184689.60999999195</v>
      </c>
      <c r="BS10" s="210">
        <f t="shared" si="32"/>
        <v>88880.707472001202</v>
      </c>
      <c r="BT10" s="210">
        <f t="shared" si="33"/>
        <v>180195.28364031971</v>
      </c>
      <c r="BU10" s="210">
        <f t="shared" si="34"/>
        <v>158154.88277288011</v>
      </c>
      <c r="BV10" s="210">
        <f t="shared" si="35"/>
        <v>126888.96510499995</v>
      </c>
      <c r="BW10" s="210">
        <f t="shared" si="36"/>
        <v>106652.96500000068</v>
      </c>
      <c r="BX10" s="210">
        <f t="shared" si="37"/>
        <v>96774.682760169875</v>
      </c>
      <c r="BY10" s="210">
        <f t="shared" si="38"/>
        <v>84902.277118409867</v>
      </c>
      <c r="BZ10" s="210">
        <f t="shared" si="39"/>
        <v>32593.857999991087</v>
      </c>
      <c r="CA10" s="210">
        <f t="shared" si="40"/>
        <v>40161.558720000416</v>
      </c>
      <c r="CB10" s="592"/>
      <c r="CD10" s="1"/>
      <c r="CE10" s="1"/>
      <c r="CF10" s="1"/>
      <c r="CG10" s="1"/>
      <c r="CH10" s="1"/>
    </row>
    <row r="11" spans="1:86" ht="27" customHeight="1" x14ac:dyDescent="0.35">
      <c r="A11" s="1"/>
      <c r="B11" s="29">
        <v>4</v>
      </c>
      <c r="C11" s="584" t="s">
        <v>192</v>
      </c>
      <c r="D11" s="21"/>
      <c r="E11" s="97"/>
      <c r="F11" s="97"/>
      <c r="G11" s="97"/>
      <c r="H11" s="704"/>
      <c r="I11" s="705"/>
      <c r="J11" s="706"/>
      <c r="K11" s="97"/>
      <c r="L11" s="97"/>
      <c r="M11" s="706"/>
      <c r="N11" s="97"/>
      <c r="O11" s="97"/>
      <c r="P11" s="97"/>
      <c r="Q11" s="704"/>
      <c r="R11" s="706"/>
      <c r="S11" s="706"/>
      <c r="T11" s="97"/>
      <c r="U11" s="704"/>
      <c r="V11" s="707"/>
      <c r="W11" s="708"/>
      <c r="X11" s="33"/>
      <c r="Y11" s="31"/>
      <c r="Z11" s="452"/>
      <c r="AA11" s="35"/>
      <c r="AB11" s="30">
        <f t="shared" si="60"/>
        <v>4</v>
      </c>
      <c r="AC11" s="30" t="str">
        <f t="shared" si="61"/>
        <v>S</v>
      </c>
      <c r="AD11" s="575"/>
      <c r="AE11" s="576"/>
      <c r="AF11" s="577"/>
      <c r="AG11" s="578"/>
      <c r="AH11" s="588"/>
      <c r="AI11" s="578"/>
      <c r="AJ11" s="576"/>
      <c r="AK11" s="576"/>
      <c r="AL11" s="578"/>
      <c r="AM11" s="576"/>
      <c r="AN11" s="576"/>
      <c r="AO11" s="576"/>
      <c r="AP11" s="576"/>
      <c r="AQ11" s="578"/>
      <c r="AR11" s="576"/>
      <c r="AS11" s="576"/>
      <c r="AT11" s="578"/>
      <c r="AU11" s="578"/>
      <c r="AV11" s="576"/>
      <c r="AW11" s="579"/>
      <c r="AX11" s="580"/>
      <c r="AY11" s="579"/>
      <c r="AZ11" s="576"/>
      <c r="BA11" s="581"/>
      <c r="BB11" s="578"/>
      <c r="BC11" s="589"/>
      <c r="BD11" s="474"/>
      <c r="BE11" s="95"/>
      <c r="BF11" s="36"/>
      <c r="BG11" s="36"/>
      <c r="BH11" s="95"/>
      <c r="BI11" s="14">
        <v>4</v>
      </c>
      <c r="BJ11" s="15"/>
      <c r="BK11" s="210">
        <f t="shared" si="24"/>
        <v>-4552010</v>
      </c>
      <c r="BL11" s="210">
        <f t="shared" si="25"/>
        <v>-3210651</v>
      </c>
      <c r="BM11" s="210">
        <f t="shared" si="26"/>
        <v>-737886.6</v>
      </c>
      <c r="BN11" s="210">
        <f t="shared" si="27"/>
        <v>4001977</v>
      </c>
      <c r="BO11" s="210">
        <f t="shared" si="28"/>
        <v>12256870</v>
      </c>
      <c r="BP11" s="210">
        <f t="shared" si="29"/>
        <v>9095248</v>
      </c>
      <c r="BQ11" s="210">
        <f t="shared" si="30"/>
        <v>3124600</v>
      </c>
      <c r="BR11" s="210">
        <f t="shared" si="31"/>
        <v>34168761.890000001</v>
      </c>
      <c r="BS11" s="210">
        <f t="shared" si="32"/>
        <v>5190570</v>
      </c>
      <c r="BT11" s="210">
        <f t="shared" si="33"/>
        <v>2078600.0000000002</v>
      </c>
      <c r="BU11" s="210">
        <f t="shared" si="34"/>
        <v>4123700</v>
      </c>
      <c r="BV11" s="210">
        <f t="shared" si="35"/>
        <v>5708324</v>
      </c>
      <c r="BW11" s="210">
        <f t="shared" si="36"/>
        <v>13077490</v>
      </c>
      <c r="BX11" s="210">
        <f t="shared" si="37"/>
        <v>333607.90000000002</v>
      </c>
      <c r="BY11" s="210">
        <f t="shared" si="38"/>
        <v>-1066190</v>
      </c>
      <c r="BZ11" s="210">
        <f t="shared" si="39"/>
        <v>-29233300</v>
      </c>
      <c r="CA11" s="210">
        <f t="shared" si="40"/>
        <v>1496647</v>
      </c>
      <c r="CB11" s="592"/>
      <c r="CD11" s="1"/>
      <c r="CE11" s="1"/>
      <c r="CF11" s="1"/>
      <c r="CG11" s="1"/>
      <c r="CH11" s="1"/>
    </row>
    <row r="12" spans="1:86" ht="27" customHeight="1" x14ac:dyDescent="0.35">
      <c r="A12" s="1"/>
      <c r="B12" s="29">
        <v>5</v>
      </c>
      <c r="C12" s="584" t="s">
        <v>192</v>
      </c>
      <c r="D12" s="21"/>
      <c r="E12" s="97"/>
      <c r="F12" s="97"/>
      <c r="G12" s="97"/>
      <c r="H12" s="97"/>
      <c r="I12" s="501"/>
      <c r="J12" s="502"/>
      <c r="K12" s="97"/>
      <c r="L12" s="704"/>
      <c r="M12" s="706"/>
      <c r="N12" s="97"/>
      <c r="O12" s="97"/>
      <c r="P12" s="97"/>
      <c r="Q12" s="704"/>
      <c r="R12" s="706"/>
      <c r="S12" s="706"/>
      <c r="T12" s="97"/>
      <c r="U12" s="704"/>
      <c r="V12" s="707"/>
      <c r="W12" s="708"/>
      <c r="X12" s="33"/>
      <c r="Y12" s="31"/>
      <c r="Z12" s="452"/>
      <c r="AA12" s="13"/>
      <c r="AB12" s="30">
        <f t="shared" si="60"/>
        <v>5</v>
      </c>
      <c r="AC12" s="30" t="str">
        <f t="shared" si="61"/>
        <v>S</v>
      </c>
      <c r="AD12" s="575"/>
      <c r="AE12" s="576"/>
      <c r="AF12" s="577"/>
      <c r="AG12" s="576"/>
      <c r="AH12" s="575"/>
      <c r="AI12" s="576"/>
      <c r="AJ12" s="576"/>
      <c r="AK12" s="578"/>
      <c r="AL12" s="578"/>
      <c r="AM12" s="576"/>
      <c r="AN12" s="576"/>
      <c r="AO12" s="576"/>
      <c r="AP12" s="576"/>
      <c r="AQ12" s="578"/>
      <c r="AR12" s="576"/>
      <c r="AS12" s="576"/>
      <c r="AT12" s="578"/>
      <c r="AU12" s="578"/>
      <c r="AV12" s="576"/>
      <c r="AW12" s="579"/>
      <c r="AX12" s="580"/>
      <c r="AY12" s="579"/>
      <c r="AZ12" s="576"/>
      <c r="BA12" s="581"/>
      <c r="BB12" s="578"/>
      <c r="BC12" s="589"/>
      <c r="BD12" s="474"/>
      <c r="BE12" s="95"/>
      <c r="BF12" s="36"/>
      <c r="BG12" s="36"/>
      <c r="BH12" s="95"/>
      <c r="BI12" s="14">
        <v>5</v>
      </c>
      <c r="BJ12" s="15"/>
      <c r="BK12" s="210">
        <f t="shared" si="24"/>
        <v>-4552010</v>
      </c>
      <c r="BL12" s="210">
        <f t="shared" si="25"/>
        <v>-3210651</v>
      </c>
      <c r="BM12" s="210">
        <f t="shared" si="26"/>
        <v>-737886.6</v>
      </c>
      <c r="BN12" s="210">
        <f t="shared" si="27"/>
        <v>4001977</v>
      </c>
      <c r="BO12" s="210">
        <f t="shared" si="28"/>
        <v>12256870</v>
      </c>
      <c r="BP12" s="210">
        <f t="shared" si="29"/>
        <v>9095248</v>
      </c>
      <c r="BQ12" s="210">
        <f t="shared" si="30"/>
        <v>3124600</v>
      </c>
      <c r="BR12" s="210">
        <f t="shared" si="31"/>
        <v>34168761.890000001</v>
      </c>
      <c r="BS12" s="210">
        <f t="shared" si="32"/>
        <v>5190570</v>
      </c>
      <c r="BT12" s="210">
        <f t="shared" si="33"/>
        <v>2078600.0000000002</v>
      </c>
      <c r="BU12" s="210">
        <f t="shared" si="34"/>
        <v>4123700</v>
      </c>
      <c r="BV12" s="210">
        <f t="shared" si="35"/>
        <v>5708324</v>
      </c>
      <c r="BW12" s="210">
        <f t="shared" si="36"/>
        <v>13077490</v>
      </c>
      <c r="BX12" s="210">
        <f t="shared" si="37"/>
        <v>333607.90000000002</v>
      </c>
      <c r="BY12" s="210">
        <f t="shared" si="38"/>
        <v>-1066190</v>
      </c>
      <c r="BZ12" s="210">
        <f t="shared" si="39"/>
        <v>-29233300</v>
      </c>
      <c r="CA12" s="210">
        <f t="shared" si="40"/>
        <v>1496647</v>
      </c>
      <c r="CB12" s="592"/>
      <c r="CD12" s="1"/>
      <c r="CE12" s="1"/>
      <c r="CF12" s="1"/>
      <c r="CG12" s="1"/>
      <c r="CH12" s="1"/>
    </row>
    <row r="13" spans="1:86" ht="27" customHeight="1" x14ac:dyDescent="0.35">
      <c r="A13" s="1"/>
      <c r="B13" s="29">
        <v>6</v>
      </c>
      <c r="C13" s="30" t="s">
        <v>32</v>
      </c>
      <c r="D13" s="21">
        <f t="shared" ref="D13" si="63">ROUND(IF(AD13&lt;205,SUM(-320030000,6636771*AD13,-46046*AD13^2,106.62*AD13^3),SUM(91660160,1216002*AD13,-22168*AD13^2,71.366*AD13^3))/1000000,3)</f>
        <v>36.213000000000001</v>
      </c>
      <c r="E13" s="97">
        <f t="shared" ref="E13" si="64">ROUND((6669048.41-363409.186*AE13-307.876*AE13^2+152.3398*AE13^3)/1000000,3)</f>
        <v>18.856999999999999</v>
      </c>
      <c r="F13" s="97">
        <f t="shared" ref="F13" si="65">ROUND((-98334930.2+3037042.21*AF13-30615.40767*AF13^2+101.23056*AF13^3)/1000000,3)</f>
        <v>10.055</v>
      </c>
      <c r="G13" s="97">
        <f t="shared" ref="G13" si="66">AW13</f>
        <v>7.9290000000000003</v>
      </c>
      <c r="H13" s="97">
        <f t="shared" ref="H13" si="67">ROUND((-174502023+4277428*AG13-35009.373*AG13^2+95.58911*AG13^3)/1000000-0.096,3)</f>
        <v>2.4180000000000001</v>
      </c>
      <c r="I13" s="501">
        <f t="shared" ref="I13" si="68">ROUND(IF(AH13&lt;318,SUM(3.5242*AH13^2-2140.3*AH13+325031)/1000,SUM(70242780-813889.6*AH13+7928.716*AH13^2-35.20719*AH13^3+0.05082853*AH13^4)/1000000)-0.059,3)</f>
        <v>2.161</v>
      </c>
      <c r="J13" s="502">
        <f t="shared" ref="J13" si="69">ROUND((-442650826+9751516.3*AI13-72042.8986*AI13^2+178.4049*AI13^3)/1000000,3)-0.071</f>
        <v>4.8690000000000007</v>
      </c>
      <c r="K13" s="97">
        <f t="shared" ref="K13" si="70">ROUND(((4827852-139329.3*AJ13+2797.9*AJ13^2-98.98*AJ13^3+1.14*AJ13^4)/1000000),3)-0.05</f>
        <v>5.5680000000000005</v>
      </c>
      <c r="L13" s="97">
        <f t="shared" ref="L13" si="71">ROUND((IF(AK13&lt;424,SUM(5064.49*AK13^2-4133655.98*AK13+843517073.2),(7938.48*AK13^2-6579376.11*AK13+1363834719.7)))/1000000,3)</f>
        <v>1.7330000000000001</v>
      </c>
      <c r="M13" s="706">
        <f t="shared" ref="M13" si="72">ROUND((-8532018+1417757*AL13-72752.08*AL13^2+1191.92*AL13^3)/1000000,3)</f>
        <v>0.14299999999999999</v>
      </c>
      <c r="N13" s="97">
        <f>ROUND((-98293225+2791565*AM13-26671.1*AM13^2+85.56608*AM13^3)/1000000,3)-0</f>
        <v>1.786</v>
      </c>
      <c r="O13" s="97">
        <f t="shared" ref="O13" si="73">ROUND((-5101113+342273.3*AN13-5950.34*AN13^2+30.97425*AN13^3)/1000000,3)-0</f>
        <v>1.78</v>
      </c>
      <c r="P13" s="97">
        <f t="shared" ref="P13" si="74">ROUND((352562346-2208805*AO13+3459.655*AO13^2)/1000000,3)-0</f>
        <v>1.244</v>
      </c>
      <c r="Q13" s="717">
        <f t="shared" ref="Q13" si="75">ROUND((426242189-1669663*AP13+1635.186*AP13^2)/1000000,3)+0.033</f>
        <v>1.43</v>
      </c>
      <c r="R13" s="718">
        <f t="shared" ref="R13" si="76">ROUND((2823894-25900.1*AQ13-1177.84*AQ13^2+13.979*AQ13^3)/1000000,3)-0.005</f>
        <v>0.99</v>
      </c>
      <c r="S13" s="718">
        <f t="shared" ref="S13" si="77">ROUND((-11518534+483790.5*AR13-6823.11*AR13^2+32.24883*AR13^3)/1000000,3)+0</f>
        <v>0.86</v>
      </c>
      <c r="T13" s="717">
        <f t="shared" ref="T13" si="78">ROUND((406066983-1465679*AS13+1322.517*AS13^2)/1000000,3)-0.001</f>
        <v>0.36299999999999999</v>
      </c>
      <c r="U13" s="717">
        <f t="shared" ref="U13" si="79">ROUND((-13395930+388944*AT13-3702.68*AT13^2+11.59891*AT13^3)/1000000,3)-0</f>
        <v>0.29799999999999999</v>
      </c>
      <c r="V13" s="707">
        <f t="shared" ref="V13" si="80">SUM(D13:U13)</f>
        <v>98.697000000000017</v>
      </c>
      <c r="W13" s="708">
        <f t="shared" ref="W13" si="81">D13+H13+I13+J13+K13+L13+N13+M13</f>
        <v>54.890999999999998</v>
      </c>
      <c r="X13" s="33"/>
      <c r="Y13" s="31"/>
      <c r="Z13" s="452"/>
      <c r="AA13" s="13"/>
      <c r="AB13" s="30">
        <f t="shared" si="60"/>
        <v>6</v>
      </c>
      <c r="AC13" s="30" t="str">
        <f t="shared" si="61"/>
        <v>M</v>
      </c>
      <c r="AD13" s="575">
        <v>214.08</v>
      </c>
      <c r="AE13" s="576">
        <v>61.7</v>
      </c>
      <c r="AF13" s="577">
        <v>150.04</v>
      </c>
      <c r="AG13" s="576">
        <v>152.05000000000001</v>
      </c>
      <c r="AH13" s="575">
        <v>328</v>
      </c>
      <c r="AI13" s="576">
        <v>162.1</v>
      </c>
      <c r="AJ13" s="576">
        <v>77.069999999999993</v>
      </c>
      <c r="AK13" s="576">
        <v>426.37</v>
      </c>
      <c r="AL13" s="578">
        <f t="shared" ref="AL13:AL14" si="82">$AL$3+3.94</f>
        <v>26.68</v>
      </c>
      <c r="AM13" s="576">
        <v>129.63</v>
      </c>
      <c r="AN13" s="578">
        <v>110.02</v>
      </c>
      <c r="AO13" s="576">
        <v>338.1</v>
      </c>
      <c r="AP13" s="716">
        <v>539.5</v>
      </c>
      <c r="AQ13" s="716">
        <v>88.49</v>
      </c>
      <c r="AR13" s="716">
        <v>99.79</v>
      </c>
      <c r="AS13" s="716">
        <v>571.1</v>
      </c>
      <c r="AT13" s="716">
        <v>139.6</v>
      </c>
      <c r="AU13" s="578"/>
      <c r="AV13" s="576">
        <v>401.14</v>
      </c>
      <c r="AW13" s="579">
        <v>7.9290000000000003</v>
      </c>
      <c r="AX13" s="721">
        <v>405</v>
      </c>
      <c r="AY13" s="722">
        <v>2.8</v>
      </c>
      <c r="AZ13" s="716">
        <v>397.8</v>
      </c>
      <c r="BA13" s="719">
        <v>2</v>
      </c>
      <c r="BB13" s="716">
        <v>359.5</v>
      </c>
      <c r="BC13" s="720">
        <f t="shared" ref="BC13" si="83">(2261.87*BB13^2-1423337.72*BB13+223819398.05)/1000000</f>
        <v>4.4541319775000217</v>
      </c>
      <c r="BD13" s="474"/>
      <c r="BE13" s="95"/>
      <c r="BF13" s="36"/>
      <c r="BG13" s="36"/>
      <c r="BH13" s="95"/>
      <c r="BI13" s="14">
        <v>6</v>
      </c>
      <c r="BJ13" s="15"/>
      <c r="BK13" s="210">
        <f t="shared" si="24"/>
        <v>1511048.4386320375</v>
      </c>
      <c r="BL13" s="210">
        <f t="shared" si="25"/>
        <v>1320621.7572484007</v>
      </c>
      <c r="BM13" s="210">
        <f t="shared" si="26"/>
        <v>668190.4364344012</v>
      </c>
      <c r="BN13" s="210">
        <f t="shared" si="27"/>
        <v>261009.33599499892</v>
      </c>
      <c r="BO13" s="210">
        <f t="shared" si="28"/>
        <v>196871.79839999788</v>
      </c>
      <c r="BP13" s="210">
        <f t="shared" si="29"/>
        <v>456934.48065200076</v>
      </c>
      <c r="BQ13" s="210">
        <f t="shared" si="30"/>
        <v>598908.20199999888</v>
      </c>
      <c r="BR13" s="210">
        <f t="shared" si="31"/>
        <v>196544.10263199359</v>
      </c>
      <c r="BS13" s="210">
        <f t="shared" si="32"/>
        <v>88880.707472001202</v>
      </c>
      <c r="BT13" s="210">
        <f t="shared" si="33"/>
        <v>182798.18638331021</v>
      </c>
      <c r="BU13" s="210">
        <f t="shared" si="34"/>
        <v>159680.55476991992</v>
      </c>
      <c r="BV13" s="210">
        <f t="shared" si="35"/>
        <v>133335.09894499928</v>
      </c>
      <c r="BW13" s="210">
        <f t="shared" si="36"/>
        <v>106652.96500000068</v>
      </c>
      <c r="BX13" s="210">
        <f t="shared" si="37"/>
        <v>96774.682760169875</v>
      </c>
      <c r="BY13" s="210">
        <f t="shared" si="38"/>
        <v>84902.277118409867</v>
      </c>
      <c r="BZ13" s="210">
        <f t="shared" si="39"/>
        <v>32593.857999991087</v>
      </c>
      <c r="CA13" s="210">
        <f t="shared" si="40"/>
        <v>40161.558720000416</v>
      </c>
      <c r="CB13" s="592"/>
      <c r="CD13" s="1"/>
      <c r="CE13" s="1"/>
      <c r="CF13" s="1"/>
      <c r="CG13" s="1"/>
      <c r="CH13" s="1"/>
    </row>
    <row r="14" spans="1:86" ht="27" customHeight="1" x14ac:dyDescent="0.35">
      <c r="A14" s="1"/>
      <c r="B14" s="29">
        <v>7</v>
      </c>
      <c r="C14" s="30" t="s">
        <v>157</v>
      </c>
      <c r="D14" s="21">
        <f t="shared" ref="D14" si="84">ROUND(IF(AD14&lt;205,SUM(-320030000,6636771*AD14,-46046*AD14^2,106.62*AD14^3),SUM(91660160,1216002*AD14,-22168*AD14^2,71.366*AD14^3))/1000000,3)</f>
        <v>36.692</v>
      </c>
      <c r="E14" s="97">
        <f t="shared" ref="E14" si="85">ROUND((6669048.41-363409.186*AE14-307.876*AE14^2+152.3398*AE14^3)/1000000,3)</f>
        <v>19.018000000000001</v>
      </c>
      <c r="F14" s="97">
        <f t="shared" ref="F14" si="86">ROUND((-98334930.2+3037042.21*AF14-30615.40767*AF14^2+101.23056*AF14^3)/1000000,3)</f>
        <v>10.131</v>
      </c>
      <c r="G14" s="97">
        <f t="shared" ref="G14" si="87">AW14</f>
        <v>7.9669999999999996</v>
      </c>
      <c r="H14" s="97">
        <f t="shared" ref="H14" si="88">ROUND((-174502023+4277428*AG14-35009.373*AG14^2+95.58911*AG14^3)/1000000-0.096,3)</f>
        <v>2.5859999999999999</v>
      </c>
      <c r="I14" s="501">
        <f t="shared" ref="I14" si="89">ROUND(IF(AH14&lt;318,SUM(3.5242*AH14^2-2140.3*AH14+325031)/1000,SUM(70242780-813889.6*AH14+7928.716*AH14^2-35.20719*AH14^3+0.05082853*AH14^4)/1000000)-0.059,3)</f>
        <v>2.1909999999999998</v>
      </c>
      <c r="J14" s="502">
        <f t="shared" ref="J14" si="90">ROUND((-442650826+9751516.3*AI14-72042.8986*AI14^2+178.4049*AI14^3)/1000000,3)-0.071</f>
        <v>4.9610000000000003</v>
      </c>
      <c r="K14" s="97">
        <f t="shared" ref="K14" si="91">ROUND(((4827852-139329.3*AJ14+2797.9*AJ14^2-98.98*AJ14^3+1.14*AJ14^4)/1000000),3)-0.05</f>
        <v>5.7610000000000001</v>
      </c>
      <c r="L14" s="97">
        <f t="shared" ref="L14" si="92">ROUND((IF(AK14&lt;424,SUM(5064.49*AK14^2-4133655.98*AK14+843517073.2),(7938.48*AK14^2-6579376.11*AK14+1363834719.7)))/1000000,3)</f>
        <v>1.8580000000000001</v>
      </c>
      <c r="M14" s="706">
        <f t="shared" ref="M14" si="93">ROUND((-8532018+1417757*AL14-72752.08*AL14^2+1191.92*AL14^3)/1000000,3)</f>
        <v>0.14299999999999999</v>
      </c>
      <c r="N14" s="97">
        <f>ROUND((-98293225+2791565*AM14-26671.1*AM14^2+85.56608*AM14^3)/1000000,3)-0</f>
        <v>1.819</v>
      </c>
      <c r="O14" s="97">
        <f t="shared" ref="O14" si="94">ROUND((-5101113+342273.3*AN14-5950.34*AN14^2+30.97425*AN14^3)/1000000,3)-0</f>
        <v>1.8260000000000001</v>
      </c>
      <c r="P14" s="97">
        <f t="shared" ref="P14" si="95">ROUND((352562346-2208805*AO14+3459.655*AO14^2)/1000000,3)-0</f>
        <v>1.284</v>
      </c>
      <c r="Q14" s="717">
        <f t="shared" ref="Q14" si="96">ROUND((426242189-1669663*AP14+1635.186*AP14^2)/1000000,3)+0.033</f>
        <v>1.43</v>
      </c>
      <c r="R14" s="718">
        <f t="shared" ref="R14" si="97">ROUND((2823894-25900.1*AQ14-1177.84*AQ14^2+13.979*AQ14^3)/1000000,3)-0.005</f>
        <v>0.99</v>
      </c>
      <c r="S14" s="718">
        <f t="shared" ref="S14" si="98">ROUND((-11518534+483790.5*AR14-6823.11*AR14^2+32.24883*AR14^3)/1000000,3)+0</f>
        <v>0.86</v>
      </c>
      <c r="T14" s="717">
        <f t="shared" ref="T14" si="99">ROUND((406066983-1465679*AS14+1322.517*AS14^2)/1000000,3)-0.001</f>
        <v>0.36299999999999999</v>
      </c>
      <c r="U14" s="717">
        <f t="shared" ref="U14" si="100">ROUND((-13395930+388944*AT14-3702.68*AT14^2+11.59891*AT14^3)/1000000,3)-0</f>
        <v>0.29799999999999999</v>
      </c>
      <c r="V14" s="707">
        <f t="shared" ref="V14" si="101">SUM(D14:U14)</f>
        <v>100.17800000000001</v>
      </c>
      <c r="W14" s="708">
        <f t="shared" ref="W14" si="102">D14+H14+I14+J14+K14+L14+N14+M14</f>
        <v>56.011000000000003</v>
      </c>
      <c r="X14" s="96"/>
      <c r="Y14" s="31"/>
      <c r="Z14" s="452"/>
      <c r="AA14" s="13"/>
      <c r="AB14" s="30">
        <f t="shared" si="60"/>
        <v>7</v>
      </c>
      <c r="AC14" s="30" t="str">
        <f t="shared" si="61"/>
        <v>T</v>
      </c>
      <c r="AD14" s="575">
        <v>214.39</v>
      </c>
      <c r="AE14" s="576">
        <v>61.82</v>
      </c>
      <c r="AF14" s="577">
        <v>150.15</v>
      </c>
      <c r="AG14" s="576">
        <v>152.68</v>
      </c>
      <c r="AH14" s="575">
        <v>328.15</v>
      </c>
      <c r="AI14" s="576">
        <v>162.30000000000001</v>
      </c>
      <c r="AJ14" s="576">
        <v>77.38</v>
      </c>
      <c r="AK14" s="576">
        <v>427.01</v>
      </c>
      <c r="AL14" s="578">
        <f t="shared" si="82"/>
        <v>26.68</v>
      </c>
      <c r="AM14" s="576">
        <v>129.80000000000001</v>
      </c>
      <c r="AN14" s="576">
        <v>110.31</v>
      </c>
      <c r="AO14" s="576">
        <v>338.4</v>
      </c>
      <c r="AP14" s="716">
        <v>539.5</v>
      </c>
      <c r="AQ14" s="716">
        <v>88.49</v>
      </c>
      <c r="AR14" s="716">
        <v>99.79</v>
      </c>
      <c r="AS14" s="716">
        <v>571.1</v>
      </c>
      <c r="AT14" s="716">
        <v>139.6</v>
      </c>
      <c r="AU14" s="578"/>
      <c r="AV14" s="576">
        <v>401.21</v>
      </c>
      <c r="AW14" s="579">
        <v>7.9669999999999996</v>
      </c>
      <c r="AX14" s="580">
        <v>404.95</v>
      </c>
      <c r="AY14" s="579">
        <v>2.7850000000000001</v>
      </c>
      <c r="AZ14" s="716">
        <v>397.8</v>
      </c>
      <c r="BA14" s="719">
        <v>2</v>
      </c>
      <c r="BB14" s="716">
        <v>359.5</v>
      </c>
      <c r="BC14" s="720">
        <f t="shared" ref="BC14" si="103">(2261.87*BB14^2-1423337.72*BB14+223819398.05)/1000000</f>
        <v>4.4541319775000217</v>
      </c>
      <c r="BD14" s="474"/>
      <c r="BE14" s="95"/>
      <c r="BF14" s="36"/>
      <c r="BG14" s="36"/>
      <c r="BH14" s="95"/>
      <c r="BI14" s="14">
        <v>7</v>
      </c>
      <c r="BJ14" s="15"/>
      <c r="BK14" s="210">
        <f>-4552010+77862.43*AD14-528.064*AD14^2+1.3857*AD14^3</f>
        <v>1524192.3715186771</v>
      </c>
      <c r="BL14" s="210">
        <f>-3210651+145404.1*AE14-2052.163*AE14^2+14.3568*AE14^3</f>
        <v>1327366.2734014639</v>
      </c>
      <c r="BM14" s="210">
        <f>IF(BK14&lt;140,-737886.6-3612.887*AF14+84.47319*AF14^2,7040924-115283.7*AF14+485.2715*AF14^2)</f>
        <v>671533.33110875264</v>
      </c>
      <c r="BN14" s="210">
        <f>4001977-66502.13*AG14+275.558*AG14^2</f>
        <v>272014.59137919825</v>
      </c>
      <c r="BO14" s="210">
        <f>12256870-84903.96*AH14+146.7551*AH14^2</f>
        <v>198580.20822974853</v>
      </c>
      <c r="BP14" s="210">
        <f>9095248-135970.3*AI14+510.0572*AI14^2</f>
        <v>462832.93178800121</v>
      </c>
      <c r="BQ14" s="210">
        <f>IF(BO14&lt;73.2,-180.3+3.1*AJ14,312.46-10.83*AJ14+0.098*AJ14^2)*10000</f>
        <v>612257.1120000009</v>
      </c>
      <c r="BR14" s="210">
        <f>(219.28*AK14^2-173172.2*AK14+34168761.89)</f>
        <v>205476.56112799048</v>
      </c>
      <c r="BS14" s="210">
        <f t="shared" si="32"/>
        <v>88880.707472001202</v>
      </c>
      <c r="BT14" s="210">
        <f>(207.86-3.07416*AM14+0.00297*AM14^2+0.000073*AM14^3)*10000</f>
        <v>185146.29016000044</v>
      </c>
      <c r="BU14" s="210">
        <f>(412.37-12.56*AN14+0.12278*AN14^2-0.000376*AN14^3)*10000</f>
        <v>162007.31868584</v>
      </c>
      <c r="BV14" s="210">
        <f>(5708324-41094.23*AO14+72.7745*AO14^2)</f>
        <v>135776.41471999884</v>
      </c>
      <c r="BW14" s="210">
        <f>(1307.749-5.30998*AP14+0.005386*AP14^2)*10000</f>
        <v>106652.96500000068</v>
      </c>
      <c r="BX14" s="210">
        <f>(33.36079-1.57235*AQ14+0.020673*AQ14^2-0.000067*AQ14^3)*10000</f>
        <v>96774.682760169875</v>
      </c>
      <c r="BY14" s="210">
        <f t="shared" si="38"/>
        <v>84902.277118409867</v>
      </c>
      <c r="BZ14" s="210">
        <f>(-2923.33+10.10447*AS14-0.00872*AS14^2)*10000</f>
        <v>32593.857999991087</v>
      </c>
      <c r="CA14" s="210">
        <f>(149.6647-3.26844*AT14+0.02264*AT14^2-0.000048*AT14^3)*10000</f>
        <v>40161.558720000416</v>
      </c>
      <c r="CB14" s="592"/>
      <c r="CD14" s="1"/>
      <c r="CE14" s="1"/>
      <c r="CF14" s="1"/>
      <c r="CG14" s="1"/>
      <c r="CH14" s="1"/>
    </row>
    <row r="15" spans="1:86" ht="27" customHeight="1" x14ac:dyDescent="0.35">
      <c r="A15" s="1"/>
      <c r="B15" s="29">
        <v>8</v>
      </c>
      <c r="C15" s="30" t="s">
        <v>190</v>
      </c>
      <c r="D15" s="21">
        <f t="shared" ref="D15" si="104">ROUND(IF(AD15&lt;205,SUM(-320030000,6636771*AD15,-46046*AD15^2,106.62*AD15^3),SUM(91660160,1216002*AD15,-22168*AD15^2,71.366*AD15^3))/1000000,3)</f>
        <v>37.143999999999998</v>
      </c>
      <c r="E15" s="97">
        <f t="shared" ref="E15" si="105">ROUND((6669048.41-363409.186*AE15-307.876*AE15^2+152.3398*AE15^3)/1000000,3)</f>
        <v>19.152999999999999</v>
      </c>
      <c r="F15" s="97">
        <f t="shared" ref="F15" si="106">ROUND((-98334930.2+3037042.21*AF15-30615.40767*AF15^2+101.23056*AF15^3)/1000000,3)</f>
        <v>10.199999999999999</v>
      </c>
      <c r="G15" s="97">
        <f t="shared" ref="G15" si="107">AW15</f>
        <v>8.0109999999999992</v>
      </c>
      <c r="H15" s="704">
        <f t="shared" ref="H15" si="108">ROUND((-174502023+4277428*AG15-35009.373*AG15^2+95.58911*AG15^3)/1000000-0.096,3)</f>
        <v>2.73</v>
      </c>
      <c r="I15" s="705">
        <f t="shared" ref="I15" si="109">ROUND(IF(AH15&lt;318,SUM(3.5242*AH15^2-2140.3*AH15+325031)/1000,SUM(70242780-813889.6*AH15+7928.716*AH15^2-35.20719*AH15^3+0.05082853*AH15^4)/1000000)-0.059,3)</f>
        <v>2.2170000000000001</v>
      </c>
      <c r="J15" s="706">
        <f t="shared" ref="J15" si="110">ROUND((-442650826+9751516.3*AI15-72042.8986*AI15^2+178.4049*AI15^3)/1000000,3)-0.071</f>
        <v>5.0460000000000003</v>
      </c>
      <c r="K15" s="97">
        <f t="shared" ref="K15" si="111">ROUND(((4827852-139329.3*AJ15+2797.9*AJ15^2-98.98*AJ15^3+1.14*AJ15^4)/1000000),3)-0.05</f>
        <v>5.9510000000000005</v>
      </c>
      <c r="L15" s="97">
        <f t="shared" ref="L15" si="112">ROUND((IF(AK15&lt;424,SUM(5064.49*AK15^2-4133655.98*AK15+843517073.2),(7938.48*AK15^2-6579376.11*AK15+1363834719.7)))/1000000,3)</f>
        <v>1.9790000000000001</v>
      </c>
      <c r="M15" s="706">
        <f t="shared" ref="M15" si="113">ROUND((-8532018+1417757*AL15-72752.08*AL15^2+1191.92*AL15^3)/1000000,3)</f>
        <v>0.14699999999999999</v>
      </c>
      <c r="N15" s="97">
        <f>ROUND((-98293225+2791565*AM15-26671.1*AM15^2+85.56608*AM15^3)/1000000,3)-0</f>
        <v>1.8340000000000001</v>
      </c>
      <c r="O15" s="97">
        <f t="shared" ref="O15" si="114">ROUND((-5101113+342273.3*AN15-5950.34*AN15^2+30.97425*AN15^3)/1000000,3)-0</f>
        <v>1.8580000000000001</v>
      </c>
      <c r="P15" s="97">
        <f t="shared" ref="P15" si="115">ROUND((352562346-2208805*AO15+3459.655*AO15^2)/1000000,3)-0</f>
        <v>1.3169999999999999</v>
      </c>
      <c r="Q15" s="717">
        <f t="shared" ref="Q15" si="116">ROUND((426242189-1669663*AP15+1635.186*AP15^2)/1000000,3)+0.033</f>
        <v>1.43</v>
      </c>
      <c r="R15" s="718">
        <f t="shared" ref="R15" si="117">ROUND((2823894-25900.1*AQ15-1177.84*AQ15^2+13.979*AQ15^3)/1000000,3)-0.005</f>
        <v>0.99</v>
      </c>
      <c r="S15" s="718">
        <f t="shared" ref="S15" si="118">ROUND((-11518534+483790.5*AR15-6823.11*AR15^2+32.24883*AR15^3)/1000000,3)+0</f>
        <v>0.86</v>
      </c>
      <c r="T15" s="717">
        <f t="shared" ref="T15" si="119">ROUND((406066983-1465679*AS15+1322.517*AS15^2)/1000000,3)-0.001</f>
        <v>0.36299999999999999</v>
      </c>
      <c r="U15" s="717">
        <f t="shared" ref="U15" si="120">ROUND((-13395930+388944*AT15-3702.68*AT15^2+11.59891*AT15^3)/1000000,3)-0</f>
        <v>0.29799999999999999</v>
      </c>
      <c r="V15" s="707">
        <f t="shared" ref="V15" si="121">SUM(D15:U15)</f>
        <v>101.52800000000001</v>
      </c>
      <c r="W15" s="708">
        <f t="shared" ref="W15" si="122">D15+H15+I15+J15+K15+L15+N15+M15</f>
        <v>57.047999999999995</v>
      </c>
      <c r="X15" s="33"/>
      <c r="Y15" s="31"/>
      <c r="Z15" s="452"/>
      <c r="AA15" s="35"/>
      <c r="AB15" s="30">
        <f t="shared" si="60"/>
        <v>8</v>
      </c>
      <c r="AC15" s="30" t="str">
        <f t="shared" si="61"/>
        <v>W</v>
      </c>
      <c r="AD15" s="575">
        <v>214.68</v>
      </c>
      <c r="AE15" s="576">
        <v>61.92</v>
      </c>
      <c r="AF15" s="577">
        <v>150.25</v>
      </c>
      <c r="AG15" s="578">
        <v>153.19999999999999</v>
      </c>
      <c r="AH15" s="588">
        <v>328.28</v>
      </c>
      <c r="AI15" s="578">
        <v>162.47999999999999</v>
      </c>
      <c r="AJ15" s="576">
        <v>77.680000000000007</v>
      </c>
      <c r="AK15" s="576">
        <v>427.6</v>
      </c>
      <c r="AL15" s="578">
        <f>$AL$3+3.98</f>
        <v>26.72</v>
      </c>
      <c r="AM15" s="576">
        <v>129.88</v>
      </c>
      <c r="AN15" s="576">
        <v>110.51</v>
      </c>
      <c r="AO15" s="576">
        <v>338.65</v>
      </c>
      <c r="AP15" s="716">
        <v>539.5</v>
      </c>
      <c r="AQ15" s="716">
        <v>88.49</v>
      </c>
      <c r="AR15" s="716">
        <v>99.79</v>
      </c>
      <c r="AS15" s="716">
        <v>571.1</v>
      </c>
      <c r="AT15" s="716">
        <v>139.6</v>
      </c>
      <c r="AU15" s="578"/>
      <c r="AV15" s="576">
        <v>401.29</v>
      </c>
      <c r="AW15" s="579">
        <v>8.0109999999999992</v>
      </c>
      <c r="AX15" s="580">
        <v>404.9</v>
      </c>
      <c r="AY15" s="579">
        <v>2.77</v>
      </c>
      <c r="AZ15" s="716">
        <v>397.8</v>
      </c>
      <c r="BA15" s="719">
        <v>2</v>
      </c>
      <c r="BB15" s="716">
        <v>359.5</v>
      </c>
      <c r="BC15" s="720">
        <f t="shared" ref="BC15" si="123">(2261.87*BB15^2-1423337.72*BB15+223819398.05)/1000000</f>
        <v>4.4541319775000217</v>
      </c>
      <c r="BD15" s="474"/>
      <c r="BE15" s="246"/>
      <c r="BF15" s="36"/>
      <c r="BG15" s="36"/>
      <c r="BH15" s="246"/>
      <c r="BI15" s="14">
        <v>8</v>
      </c>
      <c r="BJ15" s="15"/>
      <c r="BK15" s="210">
        <f t="shared" si="24"/>
        <v>1536551.4966533817</v>
      </c>
      <c r="BL15" s="210">
        <f t="shared" si="25"/>
        <v>1333000.1270928401</v>
      </c>
      <c r="BM15" s="210">
        <f t="shared" si="26"/>
        <v>674582.51696874946</v>
      </c>
      <c r="BN15" s="210">
        <f t="shared" si="27"/>
        <v>281263.07792000007</v>
      </c>
      <c r="BO15" s="210">
        <f t="shared" si="28"/>
        <v>200066.1719678361</v>
      </c>
      <c r="BP15" s="210">
        <f t="shared" si="29"/>
        <v>468176.42572288215</v>
      </c>
      <c r="BQ15" s="210">
        <f t="shared" si="30"/>
        <v>625354.75199999951</v>
      </c>
      <c r="BR15" s="210">
        <f t="shared" si="31"/>
        <v>213870.30279999226</v>
      </c>
      <c r="BS15" s="210">
        <f t="shared" si="32"/>
        <v>90339.274752000812</v>
      </c>
      <c r="BT15" s="210">
        <f t="shared" si="33"/>
        <v>186257.55809856002</v>
      </c>
      <c r="BU15" s="210">
        <f t="shared" si="34"/>
        <v>163610.39993223813</v>
      </c>
      <c r="BV15" s="210">
        <f t="shared" si="35"/>
        <v>137820.85102624819</v>
      </c>
      <c r="BW15" s="210">
        <f t="shared" si="36"/>
        <v>106652.96500000068</v>
      </c>
      <c r="BX15" s="210">
        <f t="shared" si="37"/>
        <v>96774.682760169875</v>
      </c>
      <c r="BY15" s="210">
        <f t="shared" si="38"/>
        <v>84902.277118409867</v>
      </c>
      <c r="BZ15" s="210">
        <f t="shared" si="39"/>
        <v>32593.857999991087</v>
      </c>
      <c r="CA15" s="210">
        <f t="shared" si="40"/>
        <v>40161.558720000416</v>
      </c>
      <c r="CB15" s="592"/>
      <c r="CD15" s="1"/>
      <c r="CE15" s="1"/>
      <c r="CF15" s="1"/>
      <c r="CG15" s="1"/>
      <c r="CH15" s="1"/>
    </row>
    <row r="16" spans="1:86" ht="27" customHeight="1" x14ac:dyDescent="0.35">
      <c r="A16" s="1"/>
      <c r="B16" s="29">
        <v>9</v>
      </c>
      <c r="C16" s="30" t="s">
        <v>157</v>
      </c>
      <c r="D16" s="21">
        <f t="shared" ref="D16" si="124">ROUND(IF(AD16&lt;205,SUM(-320030000,6636771*AD16,-46046*AD16^2,106.62*AD16^3),SUM(91660160,1216002*AD16,-22168*AD16^2,71.366*AD16^3))/1000000,3)</f>
        <v>37.505000000000003</v>
      </c>
      <c r="E16" s="97">
        <f t="shared" ref="E16" si="125">ROUND((6669048.41-363409.186*AE16-307.876*AE16^2+152.3398*AE16^3)/1000000,3)</f>
        <v>19.274999999999999</v>
      </c>
      <c r="F16" s="97">
        <f t="shared" ref="F16" si="126">ROUND((-98334930.2+3037042.21*AF16-30615.40767*AF16^2+101.23056*AF16^3)/1000000,3)</f>
        <v>10.276999999999999</v>
      </c>
      <c r="G16" s="97">
        <f t="shared" ref="G16" si="127">AW16</f>
        <v>8.0489999999999995</v>
      </c>
      <c r="H16" s="97">
        <f t="shared" ref="H16" si="128">ROUND((-174502023+4277428*AG16-35009.373*AG16^2+95.58911*AG16^3)/1000000-0.096,3)</f>
        <v>2.8</v>
      </c>
      <c r="I16" s="501">
        <f t="shared" ref="I16" si="129">ROUND(IF(AH16&lt;318,SUM(3.5242*AH16^2-2140.3*AH16+325031)/1000,SUM(70242780-813889.6*AH16+7928.716*AH16^2-35.20719*AH16^3+0.05082853*AH16^4)/1000000)-0.059,3)</f>
        <v>2.2410000000000001</v>
      </c>
      <c r="J16" s="502">
        <f t="shared" ref="J16" si="130">ROUND((-442650826+9751516.3*AI16-72042.8986*AI16^2+178.4049*AI16^3)/1000000,3)-0.071</f>
        <v>5.1260000000000003</v>
      </c>
      <c r="K16" s="97">
        <f t="shared" ref="K16" si="131">ROUND(((4827852-139329.3*AJ16+2797.9*AJ16^2-98.98*AJ16^3+1.14*AJ16^4)/1000000),3)-0.05</f>
        <v>6.0869999999999997</v>
      </c>
      <c r="L16" s="97">
        <f t="shared" ref="L16" si="132">ROUND((IF(AK16&lt;424,SUM(5064.49*AK16^2-4133655.98*AK16+843517073.2),(7938.48*AK16^2-6579376.11*AK16+1363834719.7)))/1000000,3)</f>
        <v>2.0659999999999998</v>
      </c>
      <c r="M16" s="706">
        <f t="shared" ref="M16" si="133">ROUND((-8532018+1417757*AL16-72752.08*AL16^2+1191.92*AL16^3)/1000000,3)</f>
        <v>0.14699999999999999</v>
      </c>
      <c r="N16" s="97">
        <f>ROUND((-98293225+2791565*AM16-26671.1*AM16^2+85.56608*AM16^3)/1000000,3)-0</f>
        <v>1.8460000000000001</v>
      </c>
      <c r="O16" s="97">
        <f t="shared" ref="O16" si="134">ROUND((-5101113+342273.3*AN16-5950.34*AN16^2+30.97425*AN16^3)/1000000,3)-0</f>
        <v>1.871</v>
      </c>
      <c r="P16" s="97">
        <f t="shared" ref="P16" si="135">ROUND((352562346-2208805*AO16+3459.655*AO16^2)/1000000,3)-0</f>
        <v>1.351</v>
      </c>
      <c r="Q16" s="717">
        <f t="shared" ref="Q16" si="136">ROUND((426242189-1669663*AP16+1635.186*AP16^2)/1000000,3)+0.033</f>
        <v>1.43</v>
      </c>
      <c r="R16" s="718">
        <f t="shared" ref="R16" si="137">ROUND((2823894-25900.1*AQ16-1177.84*AQ16^2+13.979*AQ16^3)/1000000,3)-0.005</f>
        <v>0.99</v>
      </c>
      <c r="S16" s="718">
        <f t="shared" ref="S16" si="138">ROUND((-11518534+483790.5*AR16-6823.11*AR16^2+32.24883*AR16^3)/1000000,3)+0</f>
        <v>0.86</v>
      </c>
      <c r="T16" s="717">
        <f t="shared" ref="T16" si="139">ROUND((406066983-1465679*AS16+1322.517*AS16^2)/1000000,3)-0.001</f>
        <v>0.36299999999999999</v>
      </c>
      <c r="U16" s="717">
        <f t="shared" ref="U16" si="140">ROUND((-13395930+388944*AT16-3702.68*AT16^2+11.59891*AT16^3)/1000000,3)-0</f>
        <v>0.29799999999999999</v>
      </c>
      <c r="V16" s="707">
        <f t="shared" ref="V16" si="141">SUM(D16:U16)</f>
        <v>102.58200000000001</v>
      </c>
      <c r="W16" s="708">
        <f t="shared" ref="W16" si="142">D16+H16+I16+J16+K16+L16+N16+M16</f>
        <v>57.818000000000005</v>
      </c>
      <c r="X16" s="33"/>
      <c r="Y16" s="31"/>
      <c r="Z16" s="452"/>
      <c r="AA16" s="35"/>
      <c r="AB16" s="30">
        <f t="shared" si="60"/>
        <v>9</v>
      </c>
      <c r="AC16" s="30" t="str">
        <f t="shared" si="61"/>
        <v>T</v>
      </c>
      <c r="AD16" s="575">
        <v>214.91</v>
      </c>
      <c r="AE16" s="576">
        <v>62.01</v>
      </c>
      <c r="AF16" s="577">
        <v>150.36000000000001</v>
      </c>
      <c r="AG16" s="576">
        <v>153.44999999999999</v>
      </c>
      <c r="AH16" s="575">
        <v>328.4</v>
      </c>
      <c r="AI16" s="576">
        <v>162.65</v>
      </c>
      <c r="AJ16" s="576">
        <v>77.89</v>
      </c>
      <c r="AK16" s="576">
        <v>428.01</v>
      </c>
      <c r="AL16" s="578">
        <f>$AL$3+3.98</f>
        <v>26.72</v>
      </c>
      <c r="AM16" s="576">
        <v>129.94</v>
      </c>
      <c r="AN16" s="576">
        <v>110.59</v>
      </c>
      <c r="AO16" s="576">
        <v>338.9</v>
      </c>
      <c r="AP16" s="716">
        <v>539.5</v>
      </c>
      <c r="AQ16" s="716">
        <v>88.49</v>
      </c>
      <c r="AR16" s="716">
        <v>99.79</v>
      </c>
      <c r="AS16" s="716">
        <v>571.1</v>
      </c>
      <c r="AT16" s="716">
        <v>139.6</v>
      </c>
      <c r="AU16" s="578"/>
      <c r="AV16" s="576">
        <v>401.36</v>
      </c>
      <c r="AW16" s="579">
        <v>8.0489999999999995</v>
      </c>
      <c r="AX16" s="580">
        <v>404.6</v>
      </c>
      <c r="AY16" s="579">
        <v>2.68</v>
      </c>
      <c r="AZ16" s="716">
        <v>397.8</v>
      </c>
      <c r="BA16" s="719">
        <v>2</v>
      </c>
      <c r="BB16" s="716">
        <v>359.5</v>
      </c>
      <c r="BC16" s="720">
        <f t="shared" ref="BC16" si="143">(2261.87*BB16^2-1423337.72*BB16+223819398.05)/1000000</f>
        <v>4.4541319775000217</v>
      </c>
      <c r="BD16" s="474"/>
      <c r="BE16" s="95"/>
      <c r="BF16" s="36"/>
      <c r="BG16" s="36"/>
      <c r="BH16" s="95"/>
      <c r="BI16" s="14">
        <v>9</v>
      </c>
      <c r="BJ16" s="15"/>
      <c r="BK16" s="210">
        <f t="shared" si="24"/>
        <v>1546397.1315860748</v>
      </c>
      <c r="BL16" s="210">
        <f t="shared" si="25"/>
        <v>1338081.1052905372</v>
      </c>
      <c r="BM16" s="210">
        <f t="shared" si="26"/>
        <v>677947.83118640259</v>
      </c>
      <c r="BN16" s="210">
        <f t="shared" si="27"/>
        <v>285762.51059499849</v>
      </c>
      <c r="BO16" s="210">
        <f t="shared" si="28"/>
        <v>201442.2334559951</v>
      </c>
      <c r="BP16" s="210">
        <f t="shared" si="29"/>
        <v>473253.40728700347</v>
      </c>
      <c r="BQ16" s="210">
        <f t="shared" si="30"/>
        <v>634628.05799999961</v>
      </c>
      <c r="BR16" s="210">
        <f t="shared" si="31"/>
        <v>219793.14672800153</v>
      </c>
      <c r="BS16" s="210">
        <f t="shared" si="32"/>
        <v>90339.274752000812</v>
      </c>
      <c r="BT16" s="210">
        <f t="shared" si="33"/>
        <v>187093.64768231977</v>
      </c>
      <c r="BU16" s="210">
        <f t="shared" si="34"/>
        <v>164251.22247496006</v>
      </c>
      <c r="BV16" s="210">
        <f t="shared" si="35"/>
        <v>139874.38414499909</v>
      </c>
      <c r="BW16" s="210">
        <f t="shared" si="36"/>
        <v>106652.96500000068</v>
      </c>
      <c r="BX16" s="210">
        <f t="shared" si="37"/>
        <v>96774.682760169875</v>
      </c>
      <c r="BY16" s="210">
        <f t="shared" si="38"/>
        <v>84902.277118409867</v>
      </c>
      <c r="BZ16" s="210">
        <f t="shared" si="39"/>
        <v>32593.857999991087</v>
      </c>
      <c r="CA16" s="210">
        <f t="shared" si="40"/>
        <v>40161.558720000416</v>
      </c>
      <c r="CB16" s="592"/>
      <c r="CD16" s="1"/>
      <c r="CE16" s="1"/>
      <c r="CF16" s="1"/>
      <c r="CG16" s="1"/>
      <c r="CH16" s="1"/>
    </row>
    <row r="17" spans="1:86" ht="27" customHeight="1" x14ac:dyDescent="0.35">
      <c r="A17" s="1"/>
      <c r="B17" s="29">
        <v>10</v>
      </c>
      <c r="C17" s="584" t="s">
        <v>191</v>
      </c>
      <c r="D17" s="21"/>
      <c r="E17" s="97"/>
      <c r="F17" s="97"/>
      <c r="G17" s="97"/>
      <c r="H17" s="704"/>
      <c r="I17" s="705"/>
      <c r="J17" s="706"/>
      <c r="K17" s="97"/>
      <c r="L17" s="97"/>
      <c r="M17" s="706"/>
      <c r="N17" s="97"/>
      <c r="O17" s="704"/>
      <c r="P17" s="704"/>
      <c r="Q17" s="704"/>
      <c r="R17" s="706"/>
      <c r="S17" s="706"/>
      <c r="T17" s="97"/>
      <c r="U17" s="704"/>
      <c r="V17" s="707"/>
      <c r="W17" s="708"/>
      <c r="X17" s="33"/>
      <c r="Y17" s="31"/>
      <c r="Z17" s="452"/>
      <c r="AA17" s="13"/>
      <c r="AB17" s="30">
        <f t="shared" si="60"/>
        <v>10</v>
      </c>
      <c r="AC17" s="30" t="str">
        <f t="shared" si="61"/>
        <v>F</v>
      </c>
      <c r="AD17" s="575"/>
      <c r="AE17" s="576"/>
      <c r="AF17" s="577"/>
      <c r="AG17" s="578"/>
      <c r="AH17" s="588"/>
      <c r="AI17" s="578"/>
      <c r="AJ17" s="576"/>
      <c r="AK17" s="576"/>
      <c r="AL17" s="578"/>
      <c r="AM17" s="576"/>
      <c r="AN17" s="578"/>
      <c r="AO17" s="578"/>
      <c r="AP17" s="576"/>
      <c r="AQ17" s="578"/>
      <c r="AR17" s="576"/>
      <c r="AS17" s="576"/>
      <c r="AT17" s="578"/>
      <c r="AU17" s="578"/>
      <c r="AV17" s="576"/>
      <c r="AW17" s="579"/>
      <c r="AX17" s="580"/>
      <c r="AY17" s="579"/>
      <c r="AZ17" s="576"/>
      <c r="BA17" s="581"/>
      <c r="BB17" s="578"/>
      <c r="BC17" s="589"/>
      <c r="BD17" s="474"/>
      <c r="BE17" s="95"/>
      <c r="BF17" s="36"/>
      <c r="BG17" s="36"/>
      <c r="BH17" s="95"/>
      <c r="BI17" s="14">
        <v>10</v>
      </c>
      <c r="BJ17" s="15"/>
      <c r="BK17" s="210">
        <f t="shared" si="24"/>
        <v>-4552010</v>
      </c>
      <c r="BL17" s="210">
        <f t="shared" si="25"/>
        <v>-3210651</v>
      </c>
      <c r="BM17" s="210">
        <f t="shared" si="26"/>
        <v>-737886.6</v>
      </c>
      <c r="BN17" s="210">
        <f t="shared" si="27"/>
        <v>4001977</v>
      </c>
      <c r="BO17" s="210">
        <f t="shared" si="28"/>
        <v>12256870</v>
      </c>
      <c r="BP17" s="210">
        <f t="shared" si="29"/>
        <v>9095248</v>
      </c>
      <c r="BQ17" s="210">
        <f t="shared" si="30"/>
        <v>3124600</v>
      </c>
      <c r="BR17" s="210">
        <f t="shared" si="31"/>
        <v>34168761.890000001</v>
      </c>
      <c r="BS17" s="210">
        <f t="shared" si="32"/>
        <v>5190570</v>
      </c>
      <c r="BT17" s="210">
        <f t="shared" si="33"/>
        <v>2078600.0000000002</v>
      </c>
      <c r="BU17" s="210">
        <f t="shared" si="34"/>
        <v>4123700</v>
      </c>
      <c r="BV17" s="210">
        <f t="shared" si="35"/>
        <v>5708324</v>
      </c>
      <c r="BW17" s="210">
        <f t="shared" si="36"/>
        <v>13077490</v>
      </c>
      <c r="BX17" s="210">
        <f t="shared" si="37"/>
        <v>333607.90000000002</v>
      </c>
      <c r="BY17" s="210">
        <f t="shared" si="38"/>
        <v>-1066190</v>
      </c>
      <c r="BZ17" s="210">
        <f t="shared" si="39"/>
        <v>-29233300</v>
      </c>
      <c r="CA17" s="210">
        <f t="shared" si="40"/>
        <v>1496647</v>
      </c>
      <c r="CB17" s="592"/>
      <c r="CC17" s="1"/>
      <c r="CD17" s="1"/>
      <c r="CE17" s="1"/>
      <c r="CF17" s="1"/>
      <c r="CG17" s="1"/>
      <c r="CH17" s="1"/>
    </row>
    <row r="18" spans="1:86" ht="27" customHeight="1" x14ac:dyDescent="0.35">
      <c r="A18" s="1"/>
      <c r="B18" s="29">
        <v>11</v>
      </c>
      <c r="C18" s="584" t="s">
        <v>192</v>
      </c>
      <c r="D18" s="21"/>
      <c r="E18" s="704"/>
      <c r="F18" s="97"/>
      <c r="G18" s="97"/>
      <c r="H18" s="704"/>
      <c r="I18" s="705"/>
      <c r="J18" s="706"/>
      <c r="K18" s="97"/>
      <c r="L18" s="704"/>
      <c r="M18" s="706"/>
      <c r="N18" s="97"/>
      <c r="O18" s="97"/>
      <c r="P18" s="97"/>
      <c r="Q18" s="704"/>
      <c r="R18" s="706"/>
      <c r="S18" s="706"/>
      <c r="T18" s="97"/>
      <c r="U18" s="704"/>
      <c r="V18" s="707"/>
      <c r="W18" s="708"/>
      <c r="X18" s="33"/>
      <c r="Y18" s="31"/>
      <c r="AA18" s="13"/>
      <c r="AB18" s="30">
        <f t="shared" si="60"/>
        <v>11</v>
      </c>
      <c r="AC18" s="30" t="str">
        <f t="shared" si="61"/>
        <v>S</v>
      </c>
      <c r="AD18" s="575"/>
      <c r="AE18" s="576"/>
      <c r="AF18" s="577"/>
      <c r="AG18" s="578"/>
      <c r="AH18" s="588"/>
      <c r="AI18" s="578"/>
      <c r="AJ18" s="576"/>
      <c r="AK18" s="578"/>
      <c r="AL18" s="578"/>
      <c r="AM18" s="576"/>
      <c r="AN18" s="576"/>
      <c r="AO18" s="576"/>
      <c r="AP18" s="578"/>
      <c r="AQ18" s="578"/>
      <c r="AR18" s="576"/>
      <c r="AS18" s="576"/>
      <c r="AT18" s="578"/>
      <c r="AU18" s="578"/>
      <c r="AV18" s="576"/>
      <c r="AW18" s="579"/>
      <c r="AX18" s="580"/>
      <c r="AY18" s="579"/>
      <c r="AZ18" s="576"/>
      <c r="BA18" s="581"/>
      <c r="BB18" s="578"/>
      <c r="BC18" s="589"/>
      <c r="BD18" s="474"/>
      <c r="BE18" s="95"/>
      <c r="BF18" s="36"/>
      <c r="BG18" s="36"/>
      <c r="BH18" s="95"/>
      <c r="BI18" s="14">
        <v>11</v>
      </c>
      <c r="BJ18" s="15"/>
      <c r="BK18" s="210">
        <f t="shared" si="24"/>
        <v>-4552010</v>
      </c>
      <c r="BL18" s="210">
        <f t="shared" si="25"/>
        <v>-3210651</v>
      </c>
      <c r="BM18" s="210">
        <f t="shared" si="26"/>
        <v>-737886.6</v>
      </c>
      <c r="BN18" s="210">
        <f t="shared" si="27"/>
        <v>4001977</v>
      </c>
      <c r="BO18" s="210">
        <f t="shared" si="28"/>
        <v>12256870</v>
      </c>
      <c r="BP18" s="210">
        <f t="shared" si="29"/>
        <v>9095248</v>
      </c>
      <c r="BQ18" s="210">
        <f t="shared" si="30"/>
        <v>3124600</v>
      </c>
      <c r="BR18" s="210">
        <f t="shared" si="31"/>
        <v>34168761.890000001</v>
      </c>
      <c r="BS18" s="210">
        <f t="shared" si="32"/>
        <v>5190570</v>
      </c>
      <c r="BT18" s="210">
        <f t="shared" si="33"/>
        <v>2078600.0000000002</v>
      </c>
      <c r="BU18" s="210">
        <f t="shared" si="34"/>
        <v>4123700</v>
      </c>
      <c r="BV18" s="210">
        <f t="shared" si="35"/>
        <v>5708324</v>
      </c>
      <c r="BW18" s="210">
        <f t="shared" si="36"/>
        <v>13077490</v>
      </c>
      <c r="BX18" s="210">
        <f t="shared" si="37"/>
        <v>333607.90000000002</v>
      </c>
      <c r="BY18" s="210">
        <f t="shared" si="38"/>
        <v>-1066190</v>
      </c>
      <c r="BZ18" s="210">
        <f t="shared" si="39"/>
        <v>-29233300</v>
      </c>
      <c r="CA18" s="210">
        <f t="shared" si="40"/>
        <v>1496647</v>
      </c>
      <c r="CB18" s="592"/>
      <c r="CC18" s="1"/>
      <c r="CD18" s="1"/>
      <c r="CE18" s="1"/>
      <c r="CF18" s="1"/>
      <c r="CG18" s="1"/>
      <c r="CH18" s="1"/>
    </row>
    <row r="19" spans="1:86" ht="27" customHeight="1" x14ac:dyDescent="0.35">
      <c r="A19" s="1"/>
      <c r="B19" s="29">
        <v>12</v>
      </c>
      <c r="C19" s="584" t="s">
        <v>192</v>
      </c>
      <c r="D19" s="21"/>
      <c r="E19" s="97"/>
      <c r="F19" s="97"/>
      <c r="G19" s="97"/>
      <c r="H19" s="97"/>
      <c r="I19" s="501"/>
      <c r="J19" s="502"/>
      <c r="K19" s="97"/>
      <c r="L19" s="704"/>
      <c r="M19" s="706"/>
      <c r="N19" s="97"/>
      <c r="O19" s="704"/>
      <c r="P19" s="704"/>
      <c r="Q19" s="704"/>
      <c r="R19" s="706"/>
      <c r="S19" s="706"/>
      <c r="T19" s="97"/>
      <c r="U19" s="704"/>
      <c r="V19" s="707"/>
      <c r="W19" s="708"/>
      <c r="X19" s="33"/>
      <c r="Y19" s="31"/>
      <c r="AA19" s="13"/>
      <c r="AB19" s="30">
        <f t="shared" si="60"/>
        <v>12</v>
      </c>
      <c r="AC19" s="30" t="str">
        <f t="shared" si="61"/>
        <v>S</v>
      </c>
      <c r="AD19" s="575"/>
      <c r="AE19" s="576"/>
      <c r="AF19" s="577"/>
      <c r="AG19" s="576"/>
      <c r="AH19" s="575"/>
      <c r="AI19" s="576"/>
      <c r="AJ19" s="576"/>
      <c r="AK19" s="578"/>
      <c r="AL19" s="578"/>
      <c r="AM19" s="576"/>
      <c r="AN19" s="578"/>
      <c r="AO19" s="578"/>
      <c r="AP19" s="576"/>
      <c r="AQ19" s="578"/>
      <c r="AR19" s="576"/>
      <c r="AS19" s="576"/>
      <c r="AT19" s="578"/>
      <c r="AU19" s="578"/>
      <c r="AV19" s="576"/>
      <c r="AW19" s="579"/>
      <c r="AX19" s="580"/>
      <c r="AY19" s="579"/>
      <c r="AZ19" s="576"/>
      <c r="BA19" s="581"/>
      <c r="BB19" s="578"/>
      <c r="BC19" s="589"/>
      <c r="BD19" s="474"/>
      <c r="BE19" s="95"/>
      <c r="BF19" s="36"/>
      <c r="BG19" s="36"/>
      <c r="BH19" s="95"/>
      <c r="BI19" s="14">
        <v>12</v>
      </c>
      <c r="BJ19" s="15"/>
      <c r="BK19" s="210">
        <f t="shared" si="24"/>
        <v>-4552010</v>
      </c>
      <c r="BL19" s="210">
        <f t="shared" si="25"/>
        <v>-3210651</v>
      </c>
      <c r="BM19" s="210">
        <f t="shared" si="26"/>
        <v>-737886.6</v>
      </c>
      <c r="BN19" s="210">
        <f t="shared" si="27"/>
        <v>4001977</v>
      </c>
      <c r="BO19" s="210">
        <f t="shared" si="28"/>
        <v>12256870</v>
      </c>
      <c r="BP19" s="210">
        <f t="shared" si="29"/>
        <v>9095248</v>
      </c>
      <c r="BQ19" s="210">
        <f t="shared" si="30"/>
        <v>3124600</v>
      </c>
      <c r="BR19" s="210">
        <f t="shared" si="31"/>
        <v>34168761.890000001</v>
      </c>
      <c r="BS19" s="210">
        <f t="shared" si="32"/>
        <v>5190570</v>
      </c>
      <c r="BT19" s="210">
        <f t="shared" si="33"/>
        <v>2078600.0000000002</v>
      </c>
      <c r="BU19" s="210">
        <f t="shared" si="34"/>
        <v>4123700</v>
      </c>
      <c r="BV19" s="210">
        <f t="shared" si="35"/>
        <v>5708324</v>
      </c>
      <c r="BW19" s="210">
        <f t="shared" si="36"/>
        <v>13077490</v>
      </c>
      <c r="BX19" s="210">
        <f t="shared" si="37"/>
        <v>333607.90000000002</v>
      </c>
      <c r="BY19" s="210">
        <f t="shared" si="38"/>
        <v>-1066190</v>
      </c>
      <c r="BZ19" s="210">
        <f t="shared" si="39"/>
        <v>-29233300</v>
      </c>
      <c r="CA19" s="210">
        <f t="shared" si="40"/>
        <v>1496647</v>
      </c>
      <c r="CB19" s="592"/>
      <c r="CC19" s="1"/>
      <c r="CD19" s="1"/>
      <c r="CE19" s="1"/>
      <c r="CF19" s="1"/>
      <c r="CG19" s="1"/>
      <c r="CH19" s="1"/>
    </row>
    <row r="20" spans="1:86" ht="27" customHeight="1" x14ac:dyDescent="0.35">
      <c r="A20" s="1" t="s">
        <v>0</v>
      </c>
      <c r="B20" s="29">
        <v>13</v>
      </c>
      <c r="C20" s="584" t="s">
        <v>32</v>
      </c>
      <c r="D20" s="21"/>
      <c r="E20" s="97"/>
      <c r="F20" s="97"/>
      <c r="G20" s="97"/>
      <c r="H20" s="704"/>
      <c r="I20" s="705"/>
      <c r="J20" s="706"/>
      <c r="K20" s="97"/>
      <c r="L20" s="97"/>
      <c r="M20" s="706"/>
      <c r="N20" s="97"/>
      <c r="O20" s="97"/>
      <c r="P20" s="97"/>
      <c r="Q20" s="704"/>
      <c r="R20" s="706"/>
      <c r="S20" s="706"/>
      <c r="T20" s="97"/>
      <c r="U20" s="97"/>
      <c r="V20" s="707"/>
      <c r="W20" s="708"/>
      <c r="X20" s="33"/>
      <c r="Y20" s="31"/>
      <c r="Z20" s="227"/>
      <c r="AA20" s="13"/>
      <c r="AB20" s="30">
        <f t="shared" si="60"/>
        <v>13</v>
      </c>
      <c r="AC20" s="30" t="str">
        <f t="shared" si="61"/>
        <v>M</v>
      </c>
      <c r="AD20" s="575"/>
      <c r="AE20" s="576"/>
      <c r="AF20" s="577"/>
      <c r="AG20" s="578"/>
      <c r="AH20" s="588"/>
      <c r="AI20" s="578"/>
      <c r="AJ20" s="576"/>
      <c r="AK20" s="576"/>
      <c r="AL20" s="578"/>
      <c r="AM20" s="576"/>
      <c r="AN20" s="576"/>
      <c r="AO20" s="576"/>
      <c r="AP20" s="576"/>
      <c r="AQ20" s="578"/>
      <c r="AR20" s="576"/>
      <c r="AS20" s="576"/>
      <c r="AT20" s="576"/>
      <c r="AU20" s="578"/>
      <c r="AV20" s="576"/>
      <c r="AW20" s="579"/>
      <c r="AX20" s="580"/>
      <c r="AY20" s="579"/>
      <c r="AZ20" s="576"/>
      <c r="BA20" s="581"/>
      <c r="BB20" s="578"/>
      <c r="BC20" s="589"/>
      <c r="BD20" s="474"/>
      <c r="BE20" s="95"/>
      <c r="BF20" s="36"/>
      <c r="BG20" s="36"/>
      <c r="BH20" s="95"/>
      <c r="BI20" s="14">
        <v>13</v>
      </c>
      <c r="BJ20" s="15"/>
      <c r="BK20" s="210">
        <f t="shared" si="24"/>
        <v>-4552010</v>
      </c>
      <c r="BL20" s="210">
        <f t="shared" si="25"/>
        <v>-3210651</v>
      </c>
      <c r="BM20" s="210">
        <f t="shared" si="26"/>
        <v>-737886.6</v>
      </c>
      <c r="BN20" s="210">
        <f t="shared" si="27"/>
        <v>4001977</v>
      </c>
      <c r="BO20" s="210">
        <f t="shared" si="28"/>
        <v>12256870</v>
      </c>
      <c r="BP20" s="210">
        <f t="shared" si="29"/>
        <v>9095248</v>
      </c>
      <c r="BQ20" s="210">
        <f t="shared" si="30"/>
        <v>3124600</v>
      </c>
      <c r="BR20" s="210">
        <f t="shared" si="31"/>
        <v>34168761.890000001</v>
      </c>
      <c r="BS20" s="210">
        <f t="shared" si="32"/>
        <v>5190570</v>
      </c>
      <c r="BT20" s="210">
        <f t="shared" si="33"/>
        <v>2078600.0000000002</v>
      </c>
      <c r="BU20" s="210">
        <f t="shared" si="34"/>
        <v>4123700</v>
      </c>
      <c r="BV20" s="210">
        <f t="shared" si="35"/>
        <v>5708324</v>
      </c>
      <c r="BW20" s="210">
        <f t="shared" si="36"/>
        <v>13077490</v>
      </c>
      <c r="BX20" s="210">
        <f t="shared" si="37"/>
        <v>333607.90000000002</v>
      </c>
      <c r="BY20" s="210">
        <f t="shared" si="38"/>
        <v>-1066190</v>
      </c>
      <c r="BZ20" s="210">
        <f t="shared" si="39"/>
        <v>-29233300</v>
      </c>
      <c r="CA20" s="210">
        <f t="shared" si="40"/>
        <v>1496647</v>
      </c>
      <c r="CB20" s="592"/>
      <c r="CC20" s="1"/>
      <c r="CD20" s="1"/>
      <c r="CE20" s="1"/>
      <c r="CF20" s="1"/>
      <c r="CG20" s="1"/>
      <c r="CH20" s="1"/>
    </row>
    <row r="21" spans="1:86" ht="27" customHeight="1" x14ac:dyDescent="0.35">
      <c r="A21" s="1"/>
      <c r="B21" s="29">
        <v>14</v>
      </c>
      <c r="C21" s="30" t="s">
        <v>157</v>
      </c>
      <c r="D21" s="21">
        <f t="shared" ref="D21" si="144">ROUND(IF(AD21&lt;205,SUM(-320030000,6636771*AD21,-46046*AD21^2,106.62*AD21^3),SUM(91660160,1216002*AD21,-22168*AD21^2,71.366*AD21^3))/1000000,3)</f>
        <v>39.072000000000003</v>
      </c>
      <c r="E21" s="97">
        <f t="shared" ref="E21" si="145">ROUND((6669048.41-363409.186*AE21-307.876*AE21^2+152.3398*AE21^3)/1000000,3)</f>
        <v>19.725000000000001</v>
      </c>
      <c r="F21" s="97">
        <f t="shared" ref="F21" si="146">ROUND((-98334930.2+3037042.21*AF21-30615.40767*AF21^2+101.23056*AF21^3)/1000000,3)</f>
        <v>10.500999999999999</v>
      </c>
      <c r="G21" s="97">
        <f t="shared" ref="G21" si="147">AW21</f>
        <v>8.1969999999999992</v>
      </c>
      <c r="H21" s="97">
        <f t="shared" ref="H21" si="148">ROUND((-174502023+4277428*AG21-35009.373*AG21^2+95.58911*AG21^3)/1000000-0.096,3)</f>
        <v>3.1560000000000001</v>
      </c>
      <c r="I21" s="501">
        <f>ROUND(IF(AH21&lt;318,SUM(3.5242*AH21^2-2140.3*AH21+325031)/1000,SUM(70242780-813889.6*AH21+7928.716*AH21^2-35.20719*AH21^3+0.05082853*AH21^4)/1000000)-0.059,3)</f>
        <v>2.3340000000000001</v>
      </c>
      <c r="J21" s="502">
        <f t="shared" ref="J21" si="149">ROUND((-442650826+9751516.3*AI21-72042.8986*AI21^2+178.4049*AI21^3)/1000000,3)-0.071</f>
        <v>5.4409999999999998</v>
      </c>
      <c r="K21" s="704">
        <f t="shared" ref="K21" si="150">ROUND(((4827852-139329.3*AJ21+2797.9*AJ21^2-98.98*AJ21^3+1.14*AJ21^4)/1000000),3)-0.05</f>
        <v>6.5789999999999997</v>
      </c>
      <c r="L21" s="97">
        <f t="shared" ref="L21" si="151">ROUND((IF(AK21&lt;424,SUM(5064.49*AK21^2-4133655.98*AK21+843517073.2),(7938.48*AK21^2-6579376.11*AK21+1363834719.7)))/1000000,3)</f>
        <v>2.1920000000000002</v>
      </c>
      <c r="M21" s="706">
        <f t="shared" ref="M21" si="152">ROUND((-8532018+1417757*AL21-72752.08*AL21^2+1191.92*AL21^3)/1000000,3)</f>
        <v>0.14899999999999999</v>
      </c>
      <c r="N21" s="704">
        <f>ROUND((-98293225+2791565*AM21-26671.1*AM21^2+85.56608*AM21^3)/1000000,3)-0.001</f>
        <v>1.8860000000000001</v>
      </c>
      <c r="O21" s="97">
        <f t="shared" ref="O21" si="153">ROUND((-5101113+342273.3*AN21-5950.34*AN21^2+30.97425*AN21^3)/1000000,3)-0</f>
        <v>1.915</v>
      </c>
      <c r="P21" s="97">
        <f t="shared" ref="P21" si="154">ROUND((352562346-2208805*AO21+3459.655*AO21^2)/1000000,3)-0</f>
        <v>1.4830000000000001</v>
      </c>
      <c r="Q21" s="717">
        <f t="shared" ref="Q21" si="155">ROUND((426242189-1669663*AP21+1635.186*AP21^2)/1000000,3)+0.033</f>
        <v>1.43</v>
      </c>
      <c r="R21" s="718">
        <f t="shared" ref="R21" si="156">ROUND((2823894-25900.1*AQ21-1177.84*AQ21^2+13.979*AQ21^3)/1000000,3)-0.005</f>
        <v>0.99</v>
      </c>
      <c r="S21" s="718">
        <f t="shared" ref="S21" si="157">ROUND((-11518534+483790.5*AR21-6823.11*AR21^2+32.24883*AR21^3)/1000000,3)+0</f>
        <v>0.86</v>
      </c>
      <c r="T21" s="717">
        <f t="shared" ref="T21" si="158">ROUND((406066983-1465679*AS21+1322.517*AS21^2)/1000000,3)-0.001</f>
        <v>0.36299999999999999</v>
      </c>
      <c r="U21" s="717">
        <f t="shared" ref="U21" si="159">ROUND((-13395930+388944*AT21-3702.68*AT21^2+11.59891*AT21^3)/1000000,3)-0</f>
        <v>0.29799999999999999</v>
      </c>
      <c r="V21" s="707">
        <f t="shared" ref="V21" si="160">SUM(D21:U21)</f>
        <v>106.57100000000001</v>
      </c>
      <c r="W21" s="708">
        <f t="shared" ref="W21" si="161">D21+H21+I21+J21+K21+L21+N21+M21</f>
        <v>60.809000000000012</v>
      </c>
      <c r="X21" s="33"/>
      <c r="Y21" s="31"/>
      <c r="AA21" s="13"/>
      <c r="AB21" s="30">
        <f t="shared" si="60"/>
        <v>14</v>
      </c>
      <c r="AC21" s="30" t="str">
        <f t="shared" si="61"/>
        <v>T</v>
      </c>
      <c r="AD21" s="575">
        <v>215.89</v>
      </c>
      <c r="AE21" s="576">
        <v>62.34</v>
      </c>
      <c r="AF21" s="577">
        <v>150.68</v>
      </c>
      <c r="AG21" s="576">
        <v>154.65</v>
      </c>
      <c r="AH21" s="575">
        <v>328.85</v>
      </c>
      <c r="AI21" s="576">
        <v>163.30000000000001</v>
      </c>
      <c r="AJ21" s="578">
        <v>78.63</v>
      </c>
      <c r="AK21" s="576">
        <v>428.58</v>
      </c>
      <c r="AL21" s="578">
        <f>$AL$3+4.01</f>
        <v>26.75</v>
      </c>
      <c r="AM21" s="578">
        <v>130.15</v>
      </c>
      <c r="AN21" s="576">
        <v>110.86</v>
      </c>
      <c r="AO21" s="576">
        <v>339.85</v>
      </c>
      <c r="AP21" s="716">
        <v>539.5</v>
      </c>
      <c r="AQ21" s="716">
        <v>88.49</v>
      </c>
      <c r="AR21" s="716">
        <v>99.79</v>
      </c>
      <c r="AS21" s="716">
        <v>571.1</v>
      </c>
      <c r="AT21" s="716">
        <v>139.6</v>
      </c>
      <c r="AU21" s="578"/>
      <c r="AV21" s="576">
        <v>401.63</v>
      </c>
      <c r="AW21" s="579">
        <v>8.1969999999999992</v>
      </c>
      <c r="AX21" s="580">
        <v>404.97</v>
      </c>
      <c r="AY21" s="579">
        <v>2.79</v>
      </c>
      <c r="AZ21" s="716">
        <v>397.8</v>
      </c>
      <c r="BA21" s="719">
        <v>2</v>
      </c>
      <c r="BB21" s="716">
        <v>359.5</v>
      </c>
      <c r="BC21" s="720">
        <f t="shared" ref="BC21" si="162">(2261.87*BB21^2-1423337.72*BB21+223819398.05)/1000000</f>
        <v>4.4541319775000217</v>
      </c>
      <c r="BD21" s="497"/>
      <c r="BE21" s="95"/>
      <c r="BF21" s="97"/>
      <c r="BG21" s="97"/>
      <c r="BH21" s="95"/>
      <c r="BI21" s="14">
        <v>14</v>
      </c>
      <c r="BJ21" s="15"/>
      <c r="BK21" s="210">
        <f t="shared" si="24"/>
        <v>1588782.5484217945</v>
      </c>
      <c r="BL21" s="210">
        <f t="shared" si="25"/>
        <v>1356797.5787117477</v>
      </c>
      <c r="BM21" s="210">
        <f t="shared" si="26"/>
        <v>687804.60954159871</v>
      </c>
      <c r="BN21" s="210">
        <f t="shared" si="27"/>
        <v>307839.25835500006</v>
      </c>
      <c r="BO21" s="210">
        <f t="shared" si="28"/>
        <v>206640.10671974905</v>
      </c>
      <c r="BP21" s="210">
        <f t="shared" si="29"/>
        <v>492937.2561080046</v>
      </c>
      <c r="BQ21" s="210">
        <f t="shared" si="30"/>
        <v>667994.36200000055</v>
      </c>
      <c r="BR21" s="210">
        <f t="shared" si="31"/>
        <v>228149.83419200033</v>
      </c>
      <c r="BS21" s="210">
        <f t="shared" si="32"/>
        <v>91444.774687498808</v>
      </c>
      <c r="BT21" s="210">
        <f t="shared" si="33"/>
        <v>190037.78646375026</v>
      </c>
      <c r="BU21" s="210">
        <f t="shared" si="34"/>
        <v>166412.07362943873</v>
      </c>
      <c r="BV21" s="210">
        <f t="shared" si="35"/>
        <v>147760.77292625047</v>
      </c>
      <c r="BW21" s="210">
        <f t="shared" si="36"/>
        <v>106652.96500000068</v>
      </c>
      <c r="BX21" s="210">
        <f t="shared" si="37"/>
        <v>96774.682760169875</v>
      </c>
      <c r="BY21" s="210">
        <f t="shared" si="38"/>
        <v>84902.277118409867</v>
      </c>
      <c r="BZ21" s="210">
        <f t="shared" si="39"/>
        <v>32593.857999991087</v>
      </c>
      <c r="CA21" s="210">
        <f t="shared" si="40"/>
        <v>40161.558720000416</v>
      </c>
      <c r="CB21" s="592"/>
      <c r="CC21" s="1"/>
      <c r="CD21" s="1"/>
      <c r="CE21" s="1"/>
      <c r="CF21" s="1"/>
      <c r="CG21" s="1"/>
      <c r="CH21" s="1"/>
    </row>
    <row r="22" spans="1:86" ht="27" customHeight="1" x14ac:dyDescent="0.35">
      <c r="A22" s="1"/>
      <c r="B22" s="29">
        <v>15</v>
      </c>
      <c r="C22" s="30" t="s">
        <v>190</v>
      </c>
      <c r="D22" s="21">
        <f t="shared" ref="D22" si="163">ROUND(IF(AD22&lt;205,SUM(-320030000,6636771*AD22,-46046*AD22^2,106.62*AD22^3),SUM(91660160,1216002*AD22,-22168*AD22^2,71.366*AD22^3))/1000000,3)</f>
        <v>39.332999999999998</v>
      </c>
      <c r="E22" s="704">
        <f t="shared" ref="E22" si="164">ROUND((6669048.41-363409.186*AE22-307.876*AE22^2+152.3398*AE22^3)/1000000,3)</f>
        <v>19.78</v>
      </c>
      <c r="F22" s="97">
        <f t="shared" ref="F22" si="165">ROUND((-98334930.2+3037042.21*AF22-30615.40767*AF22^2+101.23056*AF22^3)/1000000,3)</f>
        <v>10.55</v>
      </c>
      <c r="G22" s="97">
        <f t="shared" ref="G22" si="166">AW22</f>
        <v>8.2189999999999994</v>
      </c>
      <c r="H22" s="704">
        <f t="shared" ref="H22" si="167">ROUND((-174502023+4277428*AG22-35009.373*AG22^2+95.58911*AG22^3)/1000000-0.096,3)</f>
        <v>3.1960000000000002</v>
      </c>
      <c r="I22" s="705">
        <f>ROUND(IF(AH22&lt;318,SUM(3.5242*AH22^2-2140.3*AH22+325031)/1000,SUM(70242780-813889.6*AH22+7928.716*AH22^2-35.20719*AH22^3+0.05082853*AH22^4)/1000000)-0.059,3)</f>
        <v>2.3490000000000002</v>
      </c>
      <c r="J22" s="706">
        <f t="shared" ref="J22" si="168">ROUND((-442650826+9751516.3*AI22-72042.8986*AI22^2+178.4049*AI22^3)/1000000,3)-0.071</f>
        <v>5.4809999999999999</v>
      </c>
      <c r="K22" s="97">
        <f t="shared" ref="K22" si="169">ROUND(((4827852-139329.3*AJ22+2797.9*AJ22^2-98.98*AJ22^3+1.14*AJ22^4)/1000000),3)-0.05</f>
        <v>6.6550000000000002</v>
      </c>
      <c r="L22" s="97">
        <f t="shared" ref="L22" si="170">ROUND((IF(AK22&lt;424,SUM(5064.49*AK22^2-4133655.98*AK22+843517073.2),(7938.48*AK22^2-6579376.11*AK22+1363834719.7)))/1000000,3)</f>
        <v>2.181</v>
      </c>
      <c r="M22" s="706">
        <f t="shared" ref="M22" si="171">ROUND((-8532018+1417757*AL22-72752.08*AL22^2+1191.92*AL22^3)/1000000,3)</f>
        <v>0.14899999999999999</v>
      </c>
      <c r="N22" s="97">
        <f>ROUND((-98293225+2791565*AM22-26671.1*AM22^2+85.56608*AM22^3)/1000000,3)-0.001</f>
        <v>1.8880000000000001</v>
      </c>
      <c r="O22" s="97">
        <f t="shared" ref="O22" si="172">ROUND((-5101113+342273.3*AN22-5950.34*AN22^2+30.97425*AN22^3)/1000000,3)-0</f>
        <v>1.9319999999999999</v>
      </c>
      <c r="P22" s="97">
        <f t="shared" ref="P22" si="173">ROUND((352562346-2208805*AO22+3459.655*AO22^2)/1000000,3)-0</f>
        <v>1.5049999999999999</v>
      </c>
      <c r="Q22" s="717">
        <f t="shared" ref="Q22" si="174">ROUND((426242189-1669663*AP22+1635.186*AP22^2)/1000000,3)+0.033</f>
        <v>1.43</v>
      </c>
      <c r="R22" s="718">
        <f t="shared" ref="R22" si="175">ROUND((2823894-25900.1*AQ22-1177.84*AQ22^2+13.979*AQ22^3)/1000000,3)-0.005</f>
        <v>0.99</v>
      </c>
      <c r="S22" s="718">
        <f t="shared" ref="S22" si="176">ROUND((-11518534+483790.5*AR22-6823.11*AR22^2+32.24883*AR22^3)/1000000,3)+0</f>
        <v>0.86</v>
      </c>
      <c r="T22" s="717">
        <f t="shared" ref="T22" si="177">ROUND((406066983-1465679*AS22+1322.517*AS22^2)/1000000,3)-0.001</f>
        <v>0.36299999999999999</v>
      </c>
      <c r="U22" s="717">
        <f t="shared" ref="U22" si="178">ROUND((-13395930+388944*AT22-3702.68*AT22^2+11.59891*AT22^3)/1000000,3)-0</f>
        <v>0.29799999999999999</v>
      </c>
      <c r="V22" s="707">
        <f t="shared" ref="V22" si="179">SUM(D22:U22)</f>
        <v>107.15899999999999</v>
      </c>
      <c r="W22" s="708">
        <f t="shared" ref="W22" si="180">D22+H22+I22+J22+K22+L22+N22+M22</f>
        <v>61.231999999999999</v>
      </c>
      <c r="X22" s="33"/>
      <c r="Y22" s="31"/>
      <c r="AA22" s="35"/>
      <c r="AB22" s="30">
        <f t="shared" si="60"/>
        <v>15</v>
      </c>
      <c r="AC22" s="30" t="str">
        <f t="shared" si="61"/>
        <v>W</v>
      </c>
      <c r="AD22" s="575">
        <v>216.05</v>
      </c>
      <c r="AE22" s="578">
        <v>62.38</v>
      </c>
      <c r="AF22" s="577">
        <v>150.75</v>
      </c>
      <c r="AG22" s="578">
        <v>154.78</v>
      </c>
      <c r="AH22" s="588">
        <v>328.92</v>
      </c>
      <c r="AI22" s="578">
        <v>163.38</v>
      </c>
      <c r="AJ22" s="576">
        <v>78.739999999999995</v>
      </c>
      <c r="AK22" s="576">
        <v>428.53</v>
      </c>
      <c r="AL22" s="578">
        <f>$AL$3+4.01</f>
        <v>26.75</v>
      </c>
      <c r="AM22" s="576">
        <v>130.16</v>
      </c>
      <c r="AN22" s="576">
        <v>110.96</v>
      </c>
      <c r="AO22" s="576">
        <v>340</v>
      </c>
      <c r="AP22" s="716">
        <v>539.5</v>
      </c>
      <c r="AQ22" s="716">
        <v>88.49</v>
      </c>
      <c r="AR22" s="716">
        <v>99.79</v>
      </c>
      <c r="AS22" s="716">
        <v>571.1</v>
      </c>
      <c r="AT22" s="716">
        <v>139.6</v>
      </c>
      <c r="AU22" s="578"/>
      <c r="AV22" s="576">
        <v>401.67</v>
      </c>
      <c r="AW22" s="579">
        <v>8.2189999999999994</v>
      </c>
      <c r="AX22" s="580">
        <v>404.98</v>
      </c>
      <c r="AY22" s="579">
        <v>2.794</v>
      </c>
      <c r="AZ22" s="716">
        <v>397.8</v>
      </c>
      <c r="BA22" s="719">
        <v>2</v>
      </c>
      <c r="BB22" s="716">
        <v>359.5</v>
      </c>
      <c r="BC22" s="720">
        <f t="shared" ref="BC22" si="181">(2261.87*BB22^2-1423337.72*BB22+223819398.05)/1000000</f>
        <v>4.4541319775000217</v>
      </c>
      <c r="BD22" s="474"/>
      <c r="BE22" s="95"/>
      <c r="BF22" s="36"/>
      <c r="BG22" s="36"/>
      <c r="BH22" s="95"/>
      <c r="BI22" s="14">
        <v>15</v>
      </c>
      <c r="BJ22" s="15"/>
      <c r="BK22" s="210">
        <f t="shared" si="24"/>
        <v>1595769.7900272124</v>
      </c>
      <c r="BL22" s="210">
        <f t="shared" si="25"/>
        <v>1359075.5466542505</v>
      </c>
      <c r="BM22" s="210">
        <f t="shared" si="26"/>
        <v>689974.02771875076</v>
      </c>
      <c r="BN22" s="210">
        <f t="shared" si="27"/>
        <v>310278.55000719894</v>
      </c>
      <c r="BO22" s="210">
        <f t="shared" si="28"/>
        <v>207454.00666863658</v>
      </c>
      <c r="BP22" s="210">
        <f t="shared" si="29"/>
        <v>495389.67099568434</v>
      </c>
      <c r="BQ22" s="210">
        <f t="shared" si="30"/>
        <v>673045.8479999993</v>
      </c>
      <c r="BR22" s="210">
        <f t="shared" si="31"/>
        <v>227411.09015199542</v>
      </c>
      <c r="BS22" s="210">
        <f t="shared" si="32"/>
        <v>91444.774687498808</v>
      </c>
      <c r="BT22" s="210">
        <f t="shared" si="33"/>
        <v>190178.67563007967</v>
      </c>
      <c r="BU22" s="210">
        <f t="shared" si="34"/>
        <v>167211.57259264032</v>
      </c>
      <c r="BV22" s="210">
        <f t="shared" si="35"/>
        <v>149018</v>
      </c>
      <c r="BW22" s="210">
        <f t="shared" si="36"/>
        <v>106652.96500000068</v>
      </c>
      <c r="BX22" s="210">
        <f t="shared" si="37"/>
        <v>96774.682760169875</v>
      </c>
      <c r="BY22" s="210">
        <f t="shared" si="38"/>
        <v>84902.277118409867</v>
      </c>
      <c r="BZ22" s="210">
        <f t="shared" si="39"/>
        <v>32593.857999991087</v>
      </c>
      <c r="CA22" s="210">
        <f t="shared" si="40"/>
        <v>40161.558720000416</v>
      </c>
      <c r="CB22" s="592"/>
      <c r="CC22" s="1"/>
      <c r="CD22" s="1"/>
      <c r="CE22" s="1"/>
      <c r="CF22" s="1"/>
      <c r="CG22" s="1"/>
      <c r="CH22" s="1"/>
    </row>
    <row r="23" spans="1:86" ht="27" customHeight="1" x14ac:dyDescent="0.35">
      <c r="A23" s="1"/>
      <c r="B23" s="29">
        <v>16</v>
      </c>
      <c r="C23" s="30" t="s">
        <v>157</v>
      </c>
      <c r="D23" s="21">
        <f t="shared" ref="D23" si="182">ROUND(IF(AD23&lt;205,SUM(-320030000,6636771*AD23,-46046*AD23^2,106.62*AD23^3),SUM(91660160,1216002*AD23,-22168*AD23^2,71.366*AD23^3))/1000000,3)</f>
        <v>39.545000000000002</v>
      </c>
      <c r="E23" s="97">
        <f t="shared" ref="E23" si="183">ROUND((6669048.41-363409.186*AE23-307.876*AE23^2+152.3398*AE23^3)/1000000,3)</f>
        <v>19.849</v>
      </c>
      <c r="F23" s="97">
        <f t="shared" ref="F23" si="184">ROUND((-98334930.2+3037042.21*AF23-30615.40767*AF23^2+101.23056*AF23^3)/1000000,3)</f>
        <v>10.593</v>
      </c>
      <c r="G23" s="97">
        <f t="shared" ref="G23" si="185">AW23</f>
        <v>8.2349999999999994</v>
      </c>
      <c r="H23" s="97">
        <f t="shared" ref="H23" si="186">ROUND((-174502023+4277428*AG23-35009.373*AG23^2+95.58911*AG23^3)/1000000-0.096,3)</f>
        <v>3.2490000000000001</v>
      </c>
      <c r="I23" s="501">
        <f>ROUND(IF(AH23&lt;318,SUM(3.5242*AH23^2-2140.3*AH23+325031)/1000,SUM(70242780-813889.6*AH23+7928.716*AH23^2-35.20719*AH23^3+0.05082853*AH23^4)/1000000)-0.059,3)</f>
        <v>2.3660000000000001</v>
      </c>
      <c r="J23" s="502">
        <f t="shared" ref="J23" si="187">ROUND((-442650826+9751516.3*AI23-72042.8986*AI23^2+178.4049*AI23^3)/1000000,3)-0.071</f>
        <v>5.5209999999999999</v>
      </c>
      <c r="K23" s="97">
        <f t="shared" ref="K23" si="188">ROUND(((4827852-139329.3*AJ23+2797.9*AJ23^2-98.98*AJ23^3+1.14*AJ23^4)/1000000),3)-0.05</f>
        <v>6.73</v>
      </c>
      <c r="L23" s="97">
        <f t="shared" ref="L23" si="189">ROUND((IF(AK23&lt;424,SUM(5064.49*AK23^2-4133655.98*AK23+843517073.2),(7938.48*AK23^2-6579376.11*AK23+1363834719.7)))/1000000,3)</f>
        <v>2.1560000000000001</v>
      </c>
      <c r="M23" s="706">
        <f t="shared" ref="M23" si="190">ROUND((-8532018+1417757*AL23-72752.08*AL23^2+1191.92*AL23^3)/1000000,3)</f>
        <v>0.14899999999999999</v>
      </c>
      <c r="N23" s="97">
        <f>ROUND((-98293225+2791565*AM23-26671.1*AM23^2+85.56608*AM23^3)/1000000,3)-0.001</f>
        <v>1.8960000000000001</v>
      </c>
      <c r="O23" s="97">
        <f t="shared" ref="O23" si="191">ROUND((-5101113+342273.3*AN23-5950.34*AN23^2+30.97425*AN23^3)/1000000,3)-0</f>
        <v>1.952</v>
      </c>
      <c r="P23" s="704">
        <f t="shared" ref="P23" si="192">ROUND((352562346-2208805*AO23+3459.655*AO23^2)/1000000,3)-0</f>
        <v>1.526</v>
      </c>
      <c r="Q23" s="717">
        <f t="shared" ref="Q23" si="193">ROUND((426242189-1669663*AP23+1635.186*AP23^2)/1000000,3)+0.033</f>
        <v>1.43</v>
      </c>
      <c r="R23" s="718">
        <f t="shared" ref="R23" si="194">ROUND((2823894-25900.1*AQ23-1177.84*AQ23^2+13.979*AQ23^3)/1000000,3)-0.005</f>
        <v>0.99</v>
      </c>
      <c r="S23" s="718">
        <f t="shared" ref="S23" si="195">ROUND((-11518534+483790.5*AR23-6823.11*AR23^2+32.24883*AR23^3)/1000000,3)+0</f>
        <v>0.86</v>
      </c>
      <c r="T23" s="717">
        <f t="shared" ref="T23" si="196">ROUND((406066983-1465679*AS23+1322.517*AS23^2)/1000000,3)-0.001</f>
        <v>0.36299999999999999</v>
      </c>
      <c r="U23" s="717">
        <f t="shared" ref="U23" si="197">ROUND((-13395930+388944*AT23-3702.68*AT23^2+11.59891*AT23^3)/1000000,3)-0</f>
        <v>0.29799999999999999</v>
      </c>
      <c r="V23" s="707">
        <f t="shared" ref="V23" si="198">SUM(D23:U23)</f>
        <v>107.70800000000001</v>
      </c>
      <c r="W23" s="708">
        <f t="shared" ref="W23" si="199">D23+H23+I23+J23+K23+L23+N23+M23</f>
        <v>61.612000000000002</v>
      </c>
      <c r="X23" s="33"/>
      <c r="Y23" s="31"/>
      <c r="Z23" s="13"/>
      <c r="AA23" s="35"/>
      <c r="AB23" s="30">
        <f t="shared" si="60"/>
        <v>16</v>
      </c>
      <c r="AC23" s="30" t="str">
        <f t="shared" si="61"/>
        <v>T</v>
      </c>
      <c r="AD23" s="575">
        <v>216.18</v>
      </c>
      <c r="AE23" s="576">
        <v>62.43</v>
      </c>
      <c r="AF23" s="577">
        <v>150.81</v>
      </c>
      <c r="AG23" s="576">
        <v>154.94999999999999</v>
      </c>
      <c r="AH23" s="575">
        <v>329</v>
      </c>
      <c r="AI23" s="576">
        <v>163.46</v>
      </c>
      <c r="AJ23" s="576">
        <v>78.849999999999994</v>
      </c>
      <c r="AK23" s="576">
        <v>428.42</v>
      </c>
      <c r="AL23" s="578">
        <f>$AL$3+4.01</f>
        <v>26.75</v>
      </c>
      <c r="AM23" s="576">
        <v>130.19999999999999</v>
      </c>
      <c r="AN23" s="576">
        <v>111.08</v>
      </c>
      <c r="AO23" s="578">
        <v>340.15</v>
      </c>
      <c r="AP23" s="716">
        <v>539.5</v>
      </c>
      <c r="AQ23" s="716">
        <v>88.49</v>
      </c>
      <c r="AR23" s="716">
        <v>99.79</v>
      </c>
      <c r="AS23" s="716">
        <v>571.1</v>
      </c>
      <c r="AT23" s="716">
        <v>139.6</v>
      </c>
      <c r="AU23" s="578"/>
      <c r="AV23" s="576">
        <v>401.7</v>
      </c>
      <c r="AW23" s="579">
        <v>8.2349999999999994</v>
      </c>
      <c r="AX23" s="580">
        <v>404.98</v>
      </c>
      <c r="AY23" s="579">
        <v>2.794</v>
      </c>
      <c r="AZ23" s="716">
        <v>397.8</v>
      </c>
      <c r="BA23" s="719">
        <v>2</v>
      </c>
      <c r="BB23" s="716">
        <v>359.5</v>
      </c>
      <c r="BC23" s="720">
        <f t="shared" ref="BC23" si="200">(2261.87*BB23^2-1423337.72*BB23+223819398.05)/1000000</f>
        <v>4.4541319775000217</v>
      </c>
      <c r="BD23" s="474"/>
      <c r="BE23" s="95"/>
      <c r="BF23" s="36"/>
      <c r="BG23" s="36"/>
      <c r="BH23" s="95"/>
      <c r="BI23" s="14">
        <v>16</v>
      </c>
      <c r="BJ23" s="15"/>
      <c r="BK23" s="210">
        <f t="shared" si="24"/>
        <v>1601460.874184439</v>
      </c>
      <c r="BL23" s="210">
        <f t="shared" si="25"/>
        <v>1361925.862786917</v>
      </c>
      <c r="BM23" s="210">
        <f t="shared" si="26"/>
        <v>691837.31413115188</v>
      </c>
      <c r="BN23" s="210">
        <f t="shared" si="27"/>
        <v>313482.44639499765</v>
      </c>
      <c r="BO23" s="210">
        <f t="shared" si="28"/>
        <v>208385.93909999542</v>
      </c>
      <c r="BP23" s="210">
        <f t="shared" si="29"/>
        <v>497848.61461552419</v>
      </c>
      <c r="BQ23" s="210">
        <f t="shared" si="30"/>
        <v>678121.0499999997</v>
      </c>
      <c r="BR23" s="210">
        <f t="shared" si="31"/>
        <v>225789.71259199083</v>
      </c>
      <c r="BS23" s="210">
        <f t="shared" si="32"/>
        <v>91444.774687498808</v>
      </c>
      <c r="BT23" s="210">
        <f t="shared" si="33"/>
        <v>190742.86183999988</v>
      </c>
      <c r="BU23" s="210">
        <f t="shared" si="34"/>
        <v>168170.3402828805</v>
      </c>
      <c r="BV23" s="210">
        <f t="shared" si="35"/>
        <v>150278.50192624889</v>
      </c>
      <c r="BW23" s="210">
        <f t="shared" si="36"/>
        <v>106652.96500000068</v>
      </c>
      <c r="BX23" s="210">
        <f t="shared" si="37"/>
        <v>96774.682760169875</v>
      </c>
      <c r="BY23" s="210">
        <f t="shared" si="38"/>
        <v>84902.277118409867</v>
      </c>
      <c r="BZ23" s="210">
        <f t="shared" si="39"/>
        <v>32593.857999991087</v>
      </c>
      <c r="CA23" s="210">
        <f t="shared" si="40"/>
        <v>40161.558720000416</v>
      </c>
      <c r="CB23" s="592"/>
      <c r="CC23" s="1"/>
      <c r="CD23" s="1"/>
      <c r="CE23" s="1"/>
      <c r="CF23" s="1"/>
      <c r="CG23" s="1"/>
      <c r="CH23" s="1"/>
    </row>
    <row r="24" spans="1:86" ht="27" customHeight="1" x14ac:dyDescent="0.35">
      <c r="A24" s="1"/>
      <c r="B24" s="29">
        <v>17</v>
      </c>
      <c r="C24" s="30" t="s">
        <v>191</v>
      </c>
      <c r="D24" s="21">
        <f t="shared" ref="D24" si="201">ROUND(IF(AD24&lt;205,SUM(-320030000,6636771*AD24,-46046*AD24^2,106.62*AD24^3),SUM(91660160,1216002*AD24,-22168*AD24^2,71.366*AD24^3))/1000000,3)</f>
        <v>39.774999999999999</v>
      </c>
      <c r="E24" s="97">
        <f t="shared" ref="E24" si="202">ROUND((6669048.41-363409.186*AE24-307.876*AE24^2+152.3398*AE24^3)/1000000,3)</f>
        <v>19.917999999999999</v>
      </c>
      <c r="F24" s="97">
        <f t="shared" ref="F24" si="203">ROUND((-98334930.2+3037042.21*AF24-30615.40767*AF24^2+101.23056*AF24^3)/1000000,3)</f>
        <v>10.635999999999999</v>
      </c>
      <c r="G24" s="97">
        <f t="shared" ref="G24" si="204">AW24</f>
        <v>8.2509999999999994</v>
      </c>
      <c r="H24" s="704">
        <f t="shared" ref="H24" si="205">ROUND((-174502023+4277428*AG24-35009.373*AG24^2+95.58911*AG24^3)/1000000-0.096,3)</f>
        <v>3.2970000000000002</v>
      </c>
      <c r="I24" s="705">
        <f>ROUND(IF(AH24&lt;318,SUM(3.5242*AH24^2-2140.3*AH24+325031)/1000,SUM(70242780-813889.6*AH24+7928.716*AH24^2-35.20719*AH24^3+0.05082853*AH24^4)/1000000)-0.059,3)</f>
        <v>2.38</v>
      </c>
      <c r="J24" s="706">
        <f t="shared" ref="J24" si="206">ROUND((-442650826+9751516.3*AI24-72042.8986*AI24^2+178.4049*AI24^3)/1000000,3)-0.071</f>
        <v>5.5609999999999999</v>
      </c>
      <c r="K24" s="97">
        <f t="shared" ref="K24" si="207">ROUND(((4827852-139329.3*AJ24+2797.9*AJ24^2-98.98*AJ24^3+1.14*AJ24^4)/1000000),3)-0.05</f>
        <v>6.8070000000000004</v>
      </c>
      <c r="L24" s="97">
        <f t="shared" ref="L24" si="208">ROUND((IF(AK24&lt;424,SUM(5064.49*AK24^2-4133655.98*AK24+843517073.2),(7938.48*AK24^2-6579376.11*AK24+1363834719.7)))/1000000,3)</f>
        <v>2.13</v>
      </c>
      <c r="M24" s="706">
        <f t="shared" ref="M24" si="209">ROUND((-8532018+1417757*AL24-72752.08*AL24^2+1191.92*AL24^3)/1000000,3)</f>
        <v>0.14899999999999999</v>
      </c>
      <c r="N24" s="97">
        <f>ROUND((-98293225+2791565*AM24-26671.1*AM24^2+85.56608*AM24^3)/1000000,3)-0.001</f>
        <v>1.9060000000000001</v>
      </c>
      <c r="O24" s="97">
        <f t="shared" ref="O24" si="210">ROUND((-5101113+342273.3*AN24-5950.34*AN24^2+30.97425*AN24^3)/1000000,3)-0</f>
        <v>1.9570000000000001</v>
      </c>
      <c r="P24" s="97">
        <f t="shared" ref="P24" si="211">ROUND((352562346-2208805*AO24+3459.655*AO24^2)/1000000,3)-0</f>
        <v>1.5409999999999999</v>
      </c>
      <c r="Q24" s="717">
        <f t="shared" ref="Q24" si="212">ROUND((426242189-1669663*AP24+1635.186*AP24^2)/1000000,3)+0.033</f>
        <v>1.43</v>
      </c>
      <c r="R24" s="718">
        <f t="shared" ref="R24" si="213">ROUND((2823894-25900.1*AQ24-1177.84*AQ24^2+13.979*AQ24^3)/1000000,3)-0.005</f>
        <v>0.99</v>
      </c>
      <c r="S24" s="718">
        <f t="shared" ref="S24" si="214">ROUND((-11518534+483790.5*AR24-6823.11*AR24^2+32.24883*AR24^3)/1000000,3)+0</f>
        <v>0.86</v>
      </c>
      <c r="T24" s="717">
        <f t="shared" ref="T24" si="215">ROUND((406066983-1465679*AS24+1322.517*AS24^2)/1000000,3)-0.001</f>
        <v>0.36299999999999999</v>
      </c>
      <c r="U24" s="717">
        <f t="shared" ref="U24" si="216">ROUND((-13395930+388944*AT24-3702.68*AT24^2+11.59891*AT24^3)/1000000,3)-0</f>
        <v>0.29799999999999999</v>
      </c>
      <c r="V24" s="707">
        <f t="shared" ref="V24" si="217">SUM(D24:U24)</f>
        <v>108.24899999999998</v>
      </c>
      <c r="W24" s="708">
        <f t="shared" ref="W24" si="218">D24+H24+I24+J24+K24+L24+N24+M24</f>
        <v>62.005000000000003</v>
      </c>
      <c r="X24" s="33"/>
      <c r="Y24" s="31"/>
      <c r="AA24" s="13"/>
      <c r="AB24" s="30">
        <f t="shared" si="60"/>
        <v>17</v>
      </c>
      <c r="AC24" s="30" t="str">
        <f t="shared" si="61"/>
        <v>F</v>
      </c>
      <c r="AD24" s="575">
        <v>216.32</v>
      </c>
      <c r="AE24" s="576">
        <v>62.48</v>
      </c>
      <c r="AF24" s="577">
        <v>150.87</v>
      </c>
      <c r="AG24" s="578">
        <v>155.1</v>
      </c>
      <c r="AH24" s="588">
        <v>329.07</v>
      </c>
      <c r="AI24" s="578">
        <v>163.54</v>
      </c>
      <c r="AJ24" s="576">
        <v>78.959999999999994</v>
      </c>
      <c r="AK24" s="576">
        <v>428.3</v>
      </c>
      <c r="AL24" s="578">
        <f>$AL$3+4.01</f>
        <v>26.75</v>
      </c>
      <c r="AM24" s="576">
        <v>130.25</v>
      </c>
      <c r="AN24" s="576">
        <v>111.11</v>
      </c>
      <c r="AO24" s="576">
        <v>340.25</v>
      </c>
      <c r="AP24" s="716">
        <v>539.5</v>
      </c>
      <c r="AQ24" s="716">
        <v>88.49</v>
      </c>
      <c r="AR24" s="716">
        <v>99.79</v>
      </c>
      <c r="AS24" s="716">
        <v>571.1</v>
      </c>
      <c r="AT24" s="716">
        <v>139.6</v>
      </c>
      <c r="AU24" s="578"/>
      <c r="AV24" s="576">
        <v>401.73</v>
      </c>
      <c r="AW24" s="579">
        <v>8.2509999999999994</v>
      </c>
      <c r="AX24" s="751">
        <v>404.98</v>
      </c>
      <c r="AY24" s="750">
        <v>2.794</v>
      </c>
      <c r="AZ24" s="716">
        <v>397.8</v>
      </c>
      <c r="BA24" s="719">
        <v>2</v>
      </c>
      <c r="BB24" s="716">
        <v>359.5</v>
      </c>
      <c r="BC24" s="720">
        <f t="shared" ref="BC24" si="219">(2261.87*BB24^2-1423337.72*BB24+223819398.05)/1000000</f>
        <v>4.4541319775000217</v>
      </c>
      <c r="BD24" s="474"/>
      <c r="BE24" s="95"/>
      <c r="BF24" s="36"/>
      <c r="BG24" s="36"/>
      <c r="BH24" s="95"/>
      <c r="BI24" s="14">
        <v>17</v>
      </c>
      <c r="BJ24" s="15"/>
      <c r="BK24" s="210">
        <f t="shared" si="24"/>
        <v>1607603.743925659</v>
      </c>
      <c r="BL24" s="210">
        <f t="shared" si="25"/>
        <v>1364779.3625299451</v>
      </c>
      <c r="BM24" s="210">
        <f t="shared" si="26"/>
        <v>693704.09449835122</v>
      </c>
      <c r="BN24" s="210">
        <f t="shared" si="27"/>
        <v>316322.64057999942</v>
      </c>
      <c r="BO24" s="210">
        <f t="shared" si="28"/>
        <v>209202.9209059868</v>
      </c>
      <c r="BP24" s="210">
        <f t="shared" si="29"/>
        <v>500314.08696752414</v>
      </c>
      <c r="BQ24" s="210">
        <f t="shared" si="30"/>
        <v>683219.96799999964</v>
      </c>
      <c r="BR24" s="210">
        <f t="shared" si="31"/>
        <v>224026.98919999599</v>
      </c>
      <c r="BS24" s="210">
        <f t="shared" si="32"/>
        <v>91444.774687498808</v>
      </c>
      <c r="BT24" s="210">
        <f t="shared" si="33"/>
        <v>191449.51140625012</v>
      </c>
      <c r="BU24" s="210">
        <f t="shared" si="34"/>
        <v>168409.92040744142</v>
      </c>
      <c r="BV24" s="210">
        <f t="shared" si="35"/>
        <v>151120.6559062507</v>
      </c>
      <c r="BW24" s="210">
        <f t="shared" si="36"/>
        <v>106652.96500000068</v>
      </c>
      <c r="BX24" s="210">
        <f t="shared" si="37"/>
        <v>96774.682760169875</v>
      </c>
      <c r="BY24" s="210">
        <f t="shared" si="38"/>
        <v>84902.277118409867</v>
      </c>
      <c r="BZ24" s="210">
        <f t="shared" si="39"/>
        <v>32593.857999991087</v>
      </c>
      <c r="CA24" s="210">
        <f t="shared" si="40"/>
        <v>40161.558720000416</v>
      </c>
      <c r="CB24" s="592"/>
      <c r="CC24" s="1"/>
      <c r="CD24" s="1"/>
      <c r="CE24" s="1"/>
      <c r="CF24" s="1"/>
      <c r="CG24" s="1"/>
      <c r="CH24" s="1"/>
    </row>
    <row r="25" spans="1:86" ht="27" customHeight="1" x14ac:dyDescent="0.35">
      <c r="A25" s="1"/>
      <c r="B25" s="29">
        <v>18</v>
      </c>
      <c r="C25" s="584" t="s">
        <v>192</v>
      </c>
      <c r="D25" s="21"/>
      <c r="E25" s="704"/>
      <c r="F25" s="97"/>
      <c r="G25" s="97"/>
      <c r="H25" s="704"/>
      <c r="I25" s="705"/>
      <c r="J25" s="706"/>
      <c r="K25" s="97"/>
      <c r="L25" s="97"/>
      <c r="M25" s="706"/>
      <c r="N25" s="97"/>
      <c r="O25" s="97"/>
      <c r="P25" s="97"/>
      <c r="Q25" s="704"/>
      <c r="R25" s="706"/>
      <c r="S25" s="706"/>
      <c r="T25" s="97"/>
      <c r="U25" s="704"/>
      <c r="V25" s="707"/>
      <c r="W25" s="708"/>
      <c r="X25" s="33"/>
      <c r="Y25" s="31"/>
      <c r="Z25" s="20"/>
      <c r="AA25" s="13"/>
      <c r="AB25" s="30">
        <f>B25</f>
        <v>18</v>
      </c>
      <c r="AC25" s="30" t="str">
        <f>C25</f>
        <v>S</v>
      </c>
      <c r="AD25" s="575"/>
      <c r="AE25" s="578"/>
      <c r="AF25" s="577"/>
      <c r="AG25" s="578"/>
      <c r="AH25" s="588"/>
      <c r="AI25" s="578"/>
      <c r="AJ25" s="576"/>
      <c r="AK25" s="576"/>
      <c r="AL25" s="578"/>
      <c r="AM25" s="576"/>
      <c r="AN25" s="576"/>
      <c r="AO25" s="576"/>
      <c r="AP25" s="578"/>
      <c r="AQ25" s="578"/>
      <c r="AR25" s="576"/>
      <c r="AS25" s="576"/>
      <c r="AT25" s="578"/>
      <c r="AU25" s="578"/>
      <c r="AV25" s="576"/>
      <c r="AW25" s="579"/>
      <c r="AX25" s="580"/>
      <c r="AY25" s="579"/>
      <c r="AZ25" s="576"/>
      <c r="BA25" s="581"/>
      <c r="BB25" s="578"/>
      <c r="BC25" s="589"/>
      <c r="BD25" s="474"/>
      <c r="BE25" s="95"/>
      <c r="BF25" s="36"/>
      <c r="BG25" s="36"/>
      <c r="BH25" s="95"/>
      <c r="BI25" s="14">
        <v>18</v>
      </c>
      <c r="BJ25" s="15"/>
      <c r="BK25" s="210">
        <f>-4552010+77862.43*AD25-528.064*AD25^2+1.3857*AD25^3</f>
        <v>-4552010</v>
      </c>
      <c r="BL25" s="210">
        <f>-3210651+145404.1*AE25-2052.163*AE25^2+14.3568*AE25^3</f>
        <v>-3210651</v>
      </c>
      <c r="BM25" s="210">
        <f>IF(BK25&lt;140,-737886.6-3612.887*AF25+84.47319*AF25^2,7040924-115283.7*AF25+485.2715*AF25^2)</f>
        <v>-737886.6</v>
      </c>
      <c r="BN25" s="210">
        <f>4001977-66502.13*AG25+275.558*AG25^2</f>
        <v>4001977</v>
      </c>
      <c r="BO25" s="210">
        <f>12256870-84903.96*AH25+146.7551*AH25^2</f>
        <v>12256870</v>
      </c>
      <c r="BP25" s="210">
        <f>9095248-135970.3*AI25+510.0572*AI25^2</f>
        <v>9095248</v>
      </c>
      <c r="BQ25" s="210">
        <f t="shared" si="30"/>
        <v>3124600</v>
      </c>
      <c r="BR25" s="210">
        <f t="shared" si="31"/>
        <v>34168761.890000001</v>
      </c>
      <c r="BS25" s="210">
        <f t="shared" si="32"/>
        <v>5190570</v>
      </c>
      <c r="BT25" s="210">
        <f t="shared" si="33"/>
        <v>2078600.0000000002</v>
      </c>
      <c r="BU25" s="210">
        <f t="shared" si="34"/>
        <v>4123700</v>
      </c>
      <c r="BV25" s="210">
        <f t="shared" si="35"/>
        <v>5708324</v>
      </c>
      <c r="BW25" s="210">
        <f t="shared" si="36"/>
        <v>13077490</v>
      </c>
      <c r="BX25" s="210">
        <f t="shared" si="37"/>
        <v>333607.90000000002</v>
      </c>
      <c r="BY25" s="210">
        <f t="shared" si="38"/>
        <v>-1066190</v>
      </c>
      <c r="BZ25" s="210">
        <f t="shared" si="39"/>
        <v>-29233300</v>
      </c>
      <c r="CA25" s="210">
        <f t="shared" si="40"/>
        <v>1496647</v>
      </c>
      <c r="CB25" s="592"/>
      <c r="CC25" s="1"/>
      <c r="CD25" s="1"/>
      <c r="CE25" s="1"/>
      <c r="CF25" s="1"/>
      <c r="CG25" s="1"/>
      <c r="CH25" s="1"/>
    </row>
    <row r="26" spans="1:86" ht="27" customHeight="1" x14ac:dyDescent="0.35">
      <c r="A26" s="1"/>
      <c r="B26" s="29">
        <v>19</v>
      </c>
      <c r="C26" s="584" t="s">
        <v>192</v>
      </c>
      <c r="D26" s="21"/>
      <c r="E26" s="97"/>
      <c r="F26" s="97"/>
      <c r="G26" s="97"/>
      <c r="H26" s="97"/>
      <c r="I26" s="501"/>
      <c r="J26" s="502"/>
      <c r="K26" s="97"/>
      <c r="L26" s="97"/>
      <c r="M26" s="706"/>
      <c r="N26" s="97"/>
      <c r="O26" s="97"/>
      <c r="P26" s="97"/>
      <c r="Q26" s="704"/>
      <c r="R26" s="706"/>
      <c r="S26" s="706"/>
      <c r="T26" s="97"/>
      <c r="U26" s="704"/>
      <c r="V26" s="707"/>
      <c r="W26" s="708"/>
      <c r="X26" s="33"/>
      <c r="Y26" s="31"/>
      <c r="AA26" s="13"/>
      <c r="AB26" s="30">
        <f t="shared" si="60"/>
        <v>19</v>
      </c>
      <c r="AC26" s="30" t="str">
        <f t="shared" si="61"/>
        <v>S</v>
      </c>
      <c r="AD26" s="575"/>
      <c r="AE26" s="576"/>
      <c r="AF26" s="577"/>
      <c r="AG26" s="576"/>
      <c r="AH26" s="575"/>
      <c r="AI26" s="576"/>
      <c r="AJ26" s="576"/>
      <c r="AK26" s="576"/>
      <c r="AL26" s="578"/>
      <c r="AM26" s="576"/>
      <c r="AN26" s="576"/>
      <c r="AO26" s="576"/>
      <c r="AP26" s="578"/>
      <c r="AQ26" s="578"/>
      <c r="AR26" s="576"/>
      <c r="AS26" s="576"/>
      <c r="AT26" s="578"/>
      <c r="AU26" s="578"/>
      <c r="AV26" s="576"/>
      <c r="AW26" s="579"/>
      <c r="AX26" s="580"/>
      <c r="AY26" s="579"/>
      <c r="AZ26" s="576"/>
      <c r="BA26" s="581"/>
      <c r="BB26" s="578"/>
      <c r="BC26" s="589"/>
      <c r="BD26" s="497"/>
      <c r="BE26" s="95"/>
      <c r="BF26" s="97"/>
      <c r="BG26" s="97"/>
      <c r="BH26" s="95"/>
      <c r="BI26" s="14">
        <v>19</v>
      </c>
      <c r="BJ26" s="15"/>
      <c r="BK26" s="210">
        <f t="shared" si="24"/>
        <v>-4552010</v>
      </c>
      <c r="BL26" s="210">
        <f t="shared" si="25"/>
        <v>-3210651</v>
      </c>
      <c r="BM26" s="210">
        <f t="shared" si="26"/>
        <v>-737886.6</v>
      </c>
      <c r="BN26" s="210">
        <f t="shared" si="27"/>
        <v>4001977</v>
      </c>
      <c r="BO26" s="210">
        <f t="shared" si="28"/>
        <v>12256870</v>
      </c>
      <c r="BP26" s="210">
        <f t="shared" si="29"/>
        <v>9095248</v>
      </c>
      <c r="BQ26" s="210">
        <f t="shared" si="30"/>
        <v>3124600</v>
      </c>
      <c r="BR26" s="210">
        <f t="shared" si="31"/>
        <v>34168761.890000001</v>
      </c>
      <c r="BS26" s="210">
        <f t="shared" si="32"/>
        <v>5190570</v>
      </c>
      <c r="BT26" s="210">
        <f t="shared" si="33"/>
        <v>2078600.0000000002</v>
      </c>
      <c r="BU26" s="210">
        <f t="shared" si="34"/>
        <v>4123700</v>
      </c>
      <c r="BV26" s="210">
        <f t="shared" si="35"/>
        <v>5708324</v>
      </c>
      <c r="BW26" s="210">
        <f t="shared" si="36"/>
        <v>13077490</v>
      </c>
      <c r="BX26" s="210">
        <f t="shared" si="37"/>
        <v>333607.90000000002</v>
      </c>
      <c r="BY26" s="210">
        <f t="shared" si="38"/>
        <v>-1066190</v>
      </c>
      <c r="BZ26" s="210">
        <f t="shared" si="39"/>
        <v>-29233300</v>
      </c>
      <c r="CA26" s="210">
        <f t="shared" si="40"/>
        <v>1496647</v>
      </c>
      <c r="CB26" s="592"/>
      <c r="CC26" s="1"/>
      <c r="CD26" s="1"/>
      <c r="CE26" s="1"/>
      <c r="CF26" s="1"/>
      <c r="CG26" s="1"/>
      <c r="CH26" s="1"/>
    </row>
    <row r="27" spans="1:86" ht="27" customHeight="1" x14ac:dyDescent="0.35">
      <c r="A27" s="1"/>
      <c r="B27" s="29">
        <v>20</v>
      </c>
      <c r="C27" s="30" t="s">
        <v>32</v>
      </c>
      <c r="D27" s="21">
        <f t="shared" ref="D27" si="220">ROUND(IF(AD27&lt;205,SUM(-320030000,6636771*AD27,-46046*AD27^2,106.62*AD27^3),SUM(91660160,1216002*AD27,-22168*AD27^2,71.366*AD27^3))/1000000,3)</f>
        <v>41.24</v>
      </c>
      <c r="E27" s="97">
        <f t="shared" ref="E27" si="221">ROUND((6669048.41-363409.186*AE27-307.876*AE27^2+152.3398*AE27^3)/1000000,3)</f>
        <v>20.21</v>
      </c>
      <c r="F27" s="97">
        <f t="shared" ref="F27" si="222">ROUND((-98334930.2+3037042.21*AF27-30615.40767*AF27^2+101.23056*AF27^3)/1000000,3)</f>
        <v>10.763999999999999</v>
      </c>
      <c r="G27" s="97">
        <f t="shared" ref="G27" si="223">AW27</f>
        <v>8.3170000000000002</v>
      </c>
      <c r="H27" s="97">
        <f t="shared" ref="H27" si="224">ROUND((-174502023+4277428*AG27-35009.373*AG27^2+95.58911*AG27^3)/1000000-0.096,3)</f>
        <v>3.47</v>
      </c>
      <c r="I27" s="501">
        <f>ROUND(IF(AH27&lt;318,SUM(3.5242*AH27^2-2140.3*AH27+325031)/1000,SUM(70242780-813889.6*AH27+7928.716*AH27^2-35.20719*AH27^3+0.05082853*AH27^4)/1000000)-0.059,3)</f>
        <v>2.419</v>
      </c>
      <c r="J27" s="502">
        <f t="shared" ref="J27" si="225">ROUND((-442650826+9751516.3*AI27-72042.8986*AI27^2+178.4049*AI27^3)/1000000,3)-0.071</f>
        <v>5.6820000000000004</v>
      </c>
      <c r="K27" s="97">
        <f t="shared" ref="K27" si="226">ROUND(((4827852-139329.3*AJ27+2797.9*AJ27^2-98.98*AJ27^3+1.14*AJ27^4)/1000000),3)-0.05</f>
        <v>7.0390000000000006</v>
      </c>
      <c r="L27" s="97">
        <f t="shared" ref="L27" si="227">ROUND((IF(AK27&lt;424,SUM(5064.49*AK27^2-4133655.98*AK27+843517073.2),(7938.48*AK27^2-6579376.11*AK27+1363834719.7)))/1000000,3)</f>
        <v>1.5009999999999999</v>
      </c>
      <c r="M27" s="706">
        <f t="shared" ref="M27" si="228">ROUND((-8532018+1417757*AL27-72752.08*AL27^2+1191.92*AL27^3)/1000000,3)</f>
        <v>0.14899999999999999</v>
      </c>
      <c r="N27" s="97">
        <f>ROUND((-98293225+2791565*AM27-26671.1*AM27^2+85.56608*AM27^3)/1000000,3)-0.001</f>
        <v>1.921</v>
      </c>
      <c r="O27" s="97">
        <f t="shared" ref="O27" si="229">ROUND((-5101113+342273.3*AN27-5950.34*AN27^2+30.97425*AN27^3)/1000000,3)-0</f>
        <v>1.974</v>
      </c>
      <c r="P27" s="97">
        <f t="shared" ref="P27" si="230">ROUND((352562346-2208805*AO27+3459.655*AO27^2)/1000000,3)-0</f>
        <v>1.6</v>
      </c>
      <c r="Q27" s="97">
        <f t="shared" ref="Q27" si="231">ROUND((426242189-1669663*AP27+1635.186*AP27^2)/1000000,3)+0.033</f>
        <v>1.4249999999999998</v>
      </c>
      <c r="R27" s="718">
        <f t="shared" ref="R27" si="232">ROUND((2823894-25900.1*AQ27-1177.84*AQ27^2+13.979*AQ27^3)/1000000,3)-0.005</f>
        <v>0.99</v>
      </c>
      <c r="S27" s="718">
        <f t="shared" ref="S27" si="233">ROUND((-11518534+483790.5*AR27-6823.11*AR27^2+32.24883*AR27^3)/1000000,3)+0</f>
        <v>0.86</v>
      </c>
      <c r="T27" s="717">
        <f t="shared" ref="T27" si="234">ROUND((406066983-1465679*AS27+1322.517*AS27^2)/1000000,3)-0.001</f>
        <v>0.36299999999999999</v>
      </c>
      <c r="U27" s="717">
        <f t="shared" ref="U27" si="235">ROUND((-13395930+388944*AT27-3702.68*AT27^2+11.59891*AT27^3)/1000000,3)-0</f>
        <v>0.29799999999999999</v>
      </c>
      <c r="V27" s="707">
        <f t="shared" ref="V27" si="236">SUM(D27:U27)</f>
        <v>110.22200000000001</v>
      </c>
      <c r="W27" s="708">
        <f t="shared" ref="W27" si="237">D27+H27+I27+J27+K27+L27+N27+M27</f>
        <v>63.420999999999999</v>
      </c>
      <c r="X27" s="33"/>
      <c r="Y27" s="31"/>
      <c r="AA27" s="35"/>
      <c r="AB27" s="30">
        <f t="shared" si="60"/>
        <v>20</v>
      </c>
      <c r="AC27" s="30" t="str">
        <f t="shared" si="61"/>
        <v>M</v>
      </c>
      <c r="AD27" s="575">
        <v>217.2</v>
      </c>
      <c r="AE27" s="576">
        <v>62.69</v>
      </c>
      <c r="AF27" s="577">
        <v>151.05000000000001</v>
      </c>
      <c r="AG27" s="576">
        <v>155.63999999999999</v>
      </c>
      <c r="AH27" s="575">
        <v>329.25</v>
      </c>
      <c r="AI27" s="576">
        <v>163.78</v>
      </c>
      <c r="AJ27" s="576">
        <v>79.290000000000006</v>
      </c>
      <c r="AK27" s="576">
        <v>425.08</v>
      </c>
      <c r="AL27" s="578">
        <f>$AL$3+4.01</f>
        <v>26.75</v>
      </c>
      <c r="AM27" s="576">
        <v>130.33000000000001</v>
      </c>
      <c r="AN27" s="576">
        <v>111.21</v>
      </c>
      <c r="AO27" s="576">
        <v>340.65</v>
      </c>
      <c r="AP27" s="576">
        <v>539.45000000000005</v>
      </c>
      <c r="AQ27" s="716">
        <v>88.49</v>
      </c>
      <c r="AR27" s="716">
        <v>99.79</v>
      </c>
      <c r="AS27" s="716">
        <v>571.1</v>
      </c>
      <c r="AT27" s="716">
        <v>139.6</v>
      </c>
      <c r="AU27" s="578"/>
      <c r="AV27" s="576">
        <v>401.85</v>
      </c>
      <c r="AW27" s="579">
        <v>8.3170000000000002</v>
      </c>
      <c r="AX27" s="721">
        <v>405</v>
      </c>
      <c r="AY27" s="722">
        <v>2.8</v>
      </c>
      <c r="AZ27" s="716">
        <v>397.8</v>
      </c>
      <c r="BA27" s="719">
        <v>2</v>
      </c>
      <c r="BB27" s="716">
        <v>359.5</v>
      </c>
      <c r="BC27" s="720">
        <f t="shared" ref="BC27" si="238">(2261.87*BB27^2-1423337.72*BB27+223819398.05)/1000000</f>
        <v>4.4541319775000217</v>
      </c>
      <c r="BD27" s="474"/>
      <c r="BE27" s="95"/>
      <c r="BF27" s="36"/>
      <c r="BG27" s="36"/>
      <c r="BH27" s="95"/>
      <c r="BI27" s="14">
        <v>20</v>
      </c>
      <c r="BJ27" s="15"/>
      <c r="BK27" s="210">
        <f t="shared" si="24"/>
        <v>1646550.1774335988</v>
      </c>
      <c r="BL27" s="210">
        <f t="shared" si="25"/>
        <v>1376799.06947899</v>
      </c>
      <c r="BM27" s="210">
        <f t="shared" si="26"/>
        <v>699325.39932875149</v>
      </c>
      <c r="BN27" s="210">
        <f t="shared" si="27"/>
        <v>326650.01255679876</v>
      </c>
      <c r="BO27" s="210">
        <f t="shared" si="28"/>
        <v>211310.3352437485</v>
      </c>
      <c r="BP27" s="210">
        <f t="shared" si="29"/>
        <v>507749.67641648278</v>
      </c>
      <c r="BQ27" s="210">
        <f t="shared" si="30"/>
        <v>698659.01800000074</v>
      </c>
      <c r="BR27" s="210">
        <f t="shared" si="31"/>
        <v>179085.55739198625</v>
      </c>
      <c r="BS27" s="210">
        <f t="shared" si="32"/>
        <v>91444.774687498808</v>
      </c>
      <c r="BT27" s="210">
        <f t="shared" si="33"/>
        <v>192583.42639401008</v>
      </c>
      <c r="BU27" s="210">
        <f t="shared" si="34"/>
        <v>169208.18563064016</v>
      </c>
      <c r="BV27" s="210">
        <f t="shared" si="35"/>
        <v>154503.82672624849</v>
      </c>
      <c r="BW27" s="210">
        <f t="shared" si="36"/>
        <v>106402.3426499989</v>
      </c>
      <c r="BX27" s="210">
        <f t="shared" si="37"/>
        <v>96774.682760169875</v>
      </c>
      <c r="BY27" s="210">
        <f t="shared" si="38"/>
        <v>84902.277118409867</v>
      </c>
      <c r="BZ27" s="210">
        <f t="shared" si="39"/>
        <v>32593.857999991087</v>
      </c>
      <c r="CA27" s="210">
        <f t="shared" si="40"/>
        <v>40161.558720000416</v>
      </c>
      <c r="CB27" s="592"/>
      <c r="CC27" s="1"/>
      <c r="CD27" s="1"/>
      <c r="CE27" s="1"/>
      <c r="CF27" s="1"/>
      <c r="CG27" s="1"/>
      <c r="CH27" s="1"/>
    </row>
    <row r="28" spans="1:86" ht="27" customHeight="1" x14ac:dyDescent="0.35">
      <c r="A28" s="1"/>
      <c r="B28" s="29">
        <v>21</v>
      </c>
      <c r="C28" s="30" t="s">
        <v>157</v>
      </c>
      <c r="D28" s="21">
        <f t="shared" ref="D28" si="239">ROUND(IF(AD28&lt;205,SUM(-320030000,6636771*AD28,-46046*AD28^2,106.62*AD28^3),SUM(91660160,1216002*AD28,-22168*AD28^2,71.366*AD28^3))/1000000,3)</f>
        <v>41.476999999999997</v>
      </c>
      <c r="E28" s="97">
        <f t="shared" ref="E28" si="240">ROUND((6669048.41-363409.186*AE28-307.876*AE28^2+152.3398*AE28^3)/1000000,3)</f>
        <v>20.292999999999999</v>
      </c>
      <c r="F28" s="97">
        <f t="shared" ref="F28" si="241">ROUND((-98334930.2+3037042.21*AF28-30615.40767*AF28^2+101.23056*AF28^3)/1000000,3)</f>
        <v>10.807</v>
      </c>
      <c r="G28" s="97">
        <f t="shared" ref="G28" si="242">AW28</f>
        <v>8.3330000000000002</v>
      </c>
      <c r="H28" s="704">
        <f t="shared" ref="H28" si="243">ROUND((-174502023+4277428*AG28-35009.373*AG28^2+95.58911*AG28^3)/1000000-0.096,3)</f>
        <v>3.5089999999999999</v>
      </c>
      <c r="I28" s="705">
        <f>ROUND(IF(AH28&lt;318,SUM(3.5242*AH28^2-2140.3*AH28+325031)/1000,SUM(70242780-813889.6*AH28+7928.716*AH28^2-35.20719*AH28^3+0.05082853*AH28^4)/1000000)-0.059,3)</f>
        <v>2.4300000000000002</v>
      </c>
      <c r="J28" s="706">
        <f t="shared" ref="J28" si="244">ROUND((-442650826+9751516.3*AI28-72042.8986*AI28^2+178.4049*AI28^3)/1000000,3)-0.071</f>
        <v>5.718</v>
      </c>
      <c r="K28" s="97">
        <f t="shared" ref="K28" si="245">ROUND(((4827852-139329.3*AJ28+2797.9*AJ28^2-98.98*AJ28^3+1.14*AJ28^4)/1000000),3)-0.05</f>
        <v>7.0739999999999998</v>
      </c>
      <c r="L28" s="97">
        <f t="shared" ref="L28" si="246">ROUND((IF(AK28&lt;424,SUM(5064.49*AK28^2-4133655.98*AK28+843517073.2),(7938.48*AK28^2-6579376.11*AK28+1363834719.7)))/1000000,3)</f>
        <v>1.51</v>
      </c>
      <c r="M28" s="706">
        <f t="shared" ref="M28" si="247">ROUND((-8532018+1417757*AL28-72752.08*AL28^2+1191.92*AL28^3)/1000000,3)</f>
        <v>0.14899999999999999</v>
      </c>
      <c r="N28" s="97">
        <f>ROUND((-98293225+2791565*AM28-26671.1*AM28^2+85.56608*AM28^3)/1000000,3)-0.001</f>
        <v>1.9330000000000001</v>
      </c>
      <c r="O28" s="97">
        <f t="shared" ref="O28" si="248">ROUND((-5101113+342273.3*AN28-5950.34*AN28^2+30.97425*AN28^3)/1000000,3)-0</f>
        <v>1.974</v>
      </c>
      <c r="P28" s="97">
        <f t="shared" ref="P28" si="249">ROUND((352562346-2208805*AO28+3459.655*AO28^2)/1000000,3)-0</f>
        <v>1.6220000000000001</v>
      </c>
      <c r="Q28" s="97">
        <f t="shared" ref="Q28" si="250">ROUND((426242189-1669663*AP28+1635.186*AP28^2)/1000000,3)+0.033</f>
        <v>1.4259999999999999</v>
      </c>
      <c r="R28" s="718">
        <f t="shared" ref="R28" si="251">ROUND((2823894-25900.1*AQ28-1177.84*AQ28^2+13.979*AQ28^3)/1000000,3)-0.005</f>
        <v>0.99</v>
      </c>
      <c r="S28" s="718">
        <f t="shared" ref="S28" si="252">ROUND((-11518534+483790.5*AR28-6823.11*AR28^2+32.24883*AR28^3)/1000000,3)+0</f>
        <v>0.86</v>
      </c>
      <c r="T28" s="717">
        <f t="shared" ref="T28" si="253">ROUND((406066983-1465679*AS28+1322.517*AS28^2)/1000000,3)-0.001</f>
        <v>0.36299999999999999</v>
      </c>
      <c r="U28" s="717">
        <f t="shared" ref="U28" si="254">ROUND((-13395930+388944*AT28-3702.68*AT28^2+11.59891*AT28^3)/1000000,3)-0</f>
        <v>0.29799999999999999</v>
      </c>
      <c r="V28" s="707">
        <f t="shared" ref="V28" si="255">SUM(D28:U28)</f>
        <v>110.76600000000002</v>
      </c>
      <c r="W28" s="708">
        <f t="shared" ref="W28" si="256">D28+H28+I28+J28+K28+L28+N28+M28</f>
        <v>63.8</v>
      </c>
      <c r="X28" s="33"/>
      <c r="Y28" s="31"/>
      <c r="AA28" s="35"/>
      <c r="AB28" s="30">
        <f t="shared" si="60"/>
        <v>21</v>
      </c>
      <c r="AC28" s="30" t="str">
        <f t="shared" si="61"/>
        <v>T</v>
      </c>
      <c r="AD28" s="575">
        <v>217.34</v>
      </c>
      <c r="AE28" s="576">
        <v>62.75</v>
      </c>
      <c r="AF28" s="577">
        <v>151.11000000000001</v>
      </c>
      <c r="AG28" s="578">
        <v>155.76</v>
      </c>
      <c r="AH28" s="588">
        <v>329.3</v>
      </c>
      <c r="AI28" s="578">
        <v>163.85</v>
      </c>
      <c r="AJ28" s="576">
        <v>79.34</v>
      </c>
      <c r="AK28" s="576">
        <v>425.13</v>
      </c>
      <c r="AL28" s="578">
        <f>$AL$3+4.01</f>
        <v>26.75</v>
      </c>
      <c r="AM28" s="576">
        <v>130.38999999999999</v>
      </c>
      <c r="AN28" s="576">
        <v>111.21</v>
      </c>
      <c r="AO28" s="576">
        <v>340.8</v>
      </c>
      <c r="AP28" s="576">
        <v>539.46</v>
      </c>
      <c r="AQ28" s="716">
        <v>88.49</v>
      </c>
      <c r="AR28" s="716">
        <v>99.79</v>
      </c>
      <c r="AS28" s="716">
        <v>571.1</v>
      </c>
      <c r="AT28" s="716">
        <v>139.6</v>
      </c>
      <c r="AU28" s="578"/>
      <c r="AV28" s="576">
        <v>401.88</v>
      </c>
      <c r="AW28" s="579">
        <v>8.3330000000000002</v>
      </c>
      <c r="AX28" s="721">
        <v>405</v>
      </c>
      <c r="AY28" s="722">
        <v>2.8</v>
      </c>
      <c r="AZ28" s="716">
        <v>397.8</v>
      </c>
      <c r="BA28" s="719">
        <v>2</v>
      </c>
      <c r="BB28" s="716">
        <v>359.5</v>
      </c>
      <c r="BC28" s="720">
        <f t="shared" ref="BC28" si="257">(2261.87*BB28^2-1423337.72*BB28+223819398.05)/1000000</f>
        <v>4.4541319775000217</v>
      </c>
      <c r="BD28" s="474"/>
      <c r="BE28" s="95"/>
      <c r="BF28" s="36"/>
      <c r="BG28" s="36"/>
      <c r="BH28" s="95"/>
      <c r="BI28" s="14">
        <v>21</v>
      </c>
      <c r="BJ28" s="15"/>
      <c r="BK28" s="210">
        <f t="shared" si="24"/>
        <v>1652799.5842560697</v>
      </c>
      <c r="BL28" s="210">
        <f t="shared" si="25"/>
        <v>1380243.7328875</v>
      </c>
      <c r="BM28" s="210">
        <f t="shared" si="26"/>
        <v>701206.1555151511</v>
      </c>
      <c r="BN28" s="210">
        <f t="shared" si="27"/>
        <v>328966.80830079876</v>
      </c>
      <c r="BO28" s="210">
        <f t="shared" si="28"/>
        <v>211897.41579899564</v>
      </c>
      <c r="BP28" s="210">
        <f t="shared" si="29"/>
        <v>509929.45824700221</v>
      </c>
      <c r="BQ28" s="210">
        <f t="shared" si="30"/>
        <v>701016.88799999922</v>
      </c>
      <c r="BR28" s="210">
        <f t="shared" si="31"/>
        <v>179748.64983198792</v>
      </c>
      <c r="BS28" s="210">
        <f t="shared" si="32"/>
        <v>91444.774687498808</v>
      </c>
      <c r="BT28" s="210">
        <f t="shared" si="33"/>
        <v>193436.50954286999</v>
      </c>
      <c r="BU28" s="210">
        <f t="shared" si="34"/>
        <v>169208.18563064016</v>
      </c>
      <c r="BV28" s="210">
        <f t="shared" si="35"/>
        <v>155778.51968000084</v>
      </c>
      <c r="BW28" s="210">
        <f t="shared" si="36"/>
        <v>106452.4455759988</v>
      </c>
      <c r="BX28" s="210">
        <f t="shared" si="37"/>
        <v>96774.682760169875</v>
      </c>
      <c r="BY28" s="210">
        <f t="shared" si="38"/>
        <v>84902.277118409867</v>
      </c>
      <c r="BZ28" s="210">
        <f t="shared" si="39"/>
        <v>32593.857999991087</v>
      </c>
      <c r="CA28" s="210">
        <f t="shared" si="40"/>
        <v>40161.558720000416</v>
      </c>
      <c r="CB28" s="592"/>
      <c r="CC28" s="1"/>
      <c r="CD28" s="1"/>
      <c r="CE28" s="1"/>
      <c r="CF28" s="1"/>
      <c r="CG28" s="1"/>
      <c r="CH28" s="1"/>
    </row>
    <row r="29" spans="1:86" ht="27" customHeight="1" x14ac:dyDescent="0.35">
      <c r="A29" s="1"/>
      <c r="B29" s="29">
        <v>22</v>
      </c>
      <c r="C29" s="30" t="s">
        <v>190</v>
      </c>
      <c r="D29" s="21">
        <f t="shared" ref="D29" si="258">ROUND(IF(AD29&lt;205,SUM(-320030000,6636771*AD29,-46046*AD29^2,106.62*AD29^3),SUM(91660160,1216002*AD29,-22168*AD29^2,71.366*AD29^3))/1000000,3)</f>
        <v>41.68</v>
      </c>
      <c r="E29" s="704">
        <f t="shared" ref="E29" si="259">ROUND((6669048.41-363409.186*AE29-307.876*AE29^2+152.3398*AE29^3)/1000000,3)</f>
        <v>20.335000000000001</v>
      </c>
      <c r="F29" s="97">
        <f t="shared" ref="F29" si="260">ROUND((-98334930.2+3037042.21*AF29-30615.40767*AF29^2+101.23056*AF29^3)/1000000,3)</f>
        <v>10.85</v>
      </c>
      <c r="G29" s="97">
        <f t="shared" ref="G29" si="261">AW29</f>
        <v>8.3439999999999994</v>
      </c>
      <c r="H29" s="704">
        <f t="shared" ref="H29" si="262">ROUND((-174502023+4277428*AG29-35009.373*AG29^2+95.58911*AG29^3)/1000000-0.096,3)</f>
        <v>3.5419999999999998</v>
      </c>
      <c r="I29" s="705">
        <f>ROUND(IF(AH29&lt;318,SUM(3.5242*AH29^2-2140.3*AH29+325031)/1000,SUM(70242780-813889.6*AH29+7928.716*AH29^2-35.20719*AH29^3+0.05082853*AH29^4)/1000000)-0.059,3)</f>
        <v>2.4380000000000002</v>
      </c>
      <c r="J29" s="706">
        <f t="shared" ref="J29" si="263">ROUND((-442650826+9751516.3*AI29-72042.8986*AI29^2+178.4049*AI29^3)/1000000,3)-0.071</f>
        <v>5.7440000000000007</v>
      </c>
      <c r="K29" s="97">
        <f t="shared" ref="K29" si="264">ROUND(((4827852-139329.3*AJ29+2797.9*AJ29^2-98.98*AJ29^3+1.14*AJ29^4)/1000000),3)-0.05</f>
        <v>7.1029999999999998</v>
      </c>
      <c r="L29" s="97">
        <f t="shared" ref="L29" si="265">ROUND((IF(AK29&lt;424,SUM(5064.49*AK29^2-4133655.98*AK29+843517073.2),(7938.48*AK29^2-6579376.11*AK29+1363834719.7)))/1000000,3)</f>
        <v>1.5169999999999999</v>
      </c>
      <c r="M29" s="706">
        <f t="shared" ref="M29" si="266">ROUND((-8532018+1417757*AL29-72752.08*AL29^2+1191.92*AL29^3)/1000000,3)</f>
        <v>0.14899999999999999</v>
      </c>
      <c r="N29" s="97">
        <f>ROUND((-98293225+2791565*AM29-26671.1*AM29^2+85.56608*AM29^3)/1000000,3)-0.001</f>
        <v>1.9440000000000002</v>
      </c>
      <c r="O29" s="704">
        <f t="shared" ref="O29" si="267">ROUND((-5101113+342273.3*AN29-5950.34*AN29^2+30.97425*AN29^3)/1000000,3)-0</f>
        <v>1.974</v>
      </c>
      <c r="P29" s="97">
        <f t="shared" ref="P29" si="268">ROUND((352562346-2208805*AO29+3459.655*AO29^2)/1000000,3)-0</f>
        <v>1.629</v>
      </c>
      <c r="Q29" s="97">
        <f t="shared" ref="Q29" si="269">ROUND((426242189-1669663*AP29+1635.186*AP29^2)/1000000,3)+0.033</f>
        <v>1.4279999999999999</v>
      </c>
      <c r="R29" s="718">
        <f t="shared" ref="R29" si="270">ROUND((2823894-25900.1*AQ29-1177.84*AQ29^2+13.979*AQ29^3)/1000000,3)-0.005</f>
        <v>0.99</v>
      </c>
      <c r="S29" s="718">
        <f t="shared" ref="S29" si="271">ROUND((-11518534+483790.5*AR29-6823.11*AR29^2+32.24883*AR29^3)/1000000,3)+0</f>
        <v>0.86</v>
      </c>
      <c r="T29" s="717">
        <f t="shared" ref="T29" si="272">ROUND((406066983-1465679*AS29+1322.517*AS29^2)/1000000,3)-0.001</f>
        <v>0.36299999999999999</v>
      </c>
      <c r="U29" s="717">
        <f t="shared" ref="U29" si="273">ROUND((-13395930+388944*AT29-3702.68*AT29^2+11.59891*AT29^3)/1000000,3)-0</f>
        <v>0.29799999999999999</v>
      </c>
      <c r="V29" s="707">
        <f t="shared" ref="V29" si="274">SUM(D29:U29)</f>
        <v>111.18799999999999</v>
      </c>
      <c r="W29" s="708">
        <f t="shared" ref="W29" si="275">D29+H29+I29+J29+K29+L29+N29+M29</f>
        <v>64.117000000000004</v>
      </c>
      <c r="X29" s="33"/>
      <c r="Y29" s="31"/>
      <c r="AA29" s="35"/>
      <c r="AB29" s="30">
        <f t="shared" si="60"/>
        <v>22</v>
      </c>
      <c r="AC29" s="30" t="str">
        <f t="shared" si="61"/>
        <v>W</v>
      </c>
      <c r="AD29" s="575">
        <v>217.46</v>
      </c>
      <c r="AE29" s="578">
        <v>62.78</v>
      </c>
      <c r="AF29" s="577">
        <v>151.16999999999999</v>
      </c>
      <c r="AG29" s="578">
        <v>155.86000000000001</v>
      </c>
      <c r="AH29" s="588">
        <v>329.34</v>
      </c>
      <c r="AI29" s="578">
        <v>163.9</v>
      </c>
      <c r="AJ29" s="576">
        <v>79.38</v>
      </c>
      <c r="AK29" s="576">
        <v>425.17</v>
      </c>
      <c r="AL29" s="578">
        <f>$AL$3+4.01</f>
        <v>26.75</v>
      </c>
      <c r="AM29" s="576">
        <v>130.44</v>
      </c>
      <c r="AN29" s="578">
        <v>111.21</v>
      </c>
      <c r="AO29" s="576">
        <v>340.85</v>
      </c>
      <c r="AP29" s="576">
        <v>539.48</v>
      </c>
      <c r="AQ29" s="716">
        <v>88.49</v>
      </c>
      <c r="AR29" s="716">
        <v>99.79</v>
      </c>
      <c r="AS29" s="716">
        <v>571.1</v>
      </c>
      <c r="AT29" s="716">
        <v>139.6</v>
      </c>
      <c r="AU29" s="578"/>
      <c r="AV29" s="576">
        <v>401.9</v>
      </c>
      <c r="AW29" s="579">
        <v>8.3439999999999994</v>
      </c>
      <c r="AX29" s="721">
        <v>405</v>
      </c>
      <c r="AY29" s="722">
        <v>2.8</v>
      </c>
      <c r="AZ29" s="716">
        <v>397.8</v>
      </c>
      <c r="BA29" s="719">
        <v>2</v>
      </c>
      <c r="BB29" s="716">
        <v>359.5</v>
      </c>
      <c r="BC29" s="720">
        <f t="shared" ref="BC29" si="276">(2261.87*BB29^2-1423337.72*BB29+223819398.05)/1000000</f>
        <v>4.4541319775000217</v>
      </c>
      <c r="BE29" s="95"/>
      <c r="BF29" s="97"/>
      <c r="BG29" s="97"/>
      <c r="BH29" s="95"/>
      <c r="BI29" s="14">
        <v>22</v>
      </c>
      <c r="BJ29" s="15"/>
      <c r="BK29" s="210">
        <f t="shared" si="24"/>
        <v>1658167.9315422159</v>
      </c>
      <c r="BL29" s="210">
        <f t="shared" si="25"/>
        <v>1381967.8197912737</v>
      </c>
      <c r="BM29" s="210">
        <f t="shared" si="26"/>
        <v>703090.40565635078</v>
      </c>
      <c r="BN29" s="210">
        <f t="shared" si="27"/>
        <v>330903.53369679954</v>
      </c>
      <c r="BO29" s="210">
        <f t="shared" si="28"/>
        <v>212367.60856155679</v>
      </c>
      <c r="BP29" s="210">
        <f t="shared" si="29"/>
        <v>511489.50561200455</v>
      </c>
      <c r="BQ29" s="210">
        <f t="shared" si="30"/>
        <v>702906.71199999901</v>
      </c>
      <c r="BR29" s="210">
        <f t="shared" si="31"/>
        <v>180279.91319199651</v>
      </c>
      <c r="BS29" s="210">
        <f t="shared" si="32"/>
        <v>91444.774687498808</v>
      </c>
      <c r="BT29" s="210">
        <f t="shared" si="33"/>
        <v>194149.14602432048</v>
      </c>
      <c r="BU29" s="210">
        <f t="shared" si="34"/>
        <v>169208.18563064016</v>
      </c>
      <c r="BV29" s="210">
        <f t="shared" si="35"/>
        <v>156204.14507624879</v>
      </c>
      <c r="BW29" s="210">
        <f t="shared" si="36"/>
        <v>106552.68374399838</v>
      </c>
      <c r="BX29" s="210">
        <f t="shared" si="37"/>
        <v>96774.682760169875</v>
      </c>
      <c r="BY29" s="210">
        <f t="shared" si="38"/>
        <v>84902.277118409867</v>
      </c>
      <c r="BZ29" s="210">
        <f t="shared" si="39"/>
        <v>32593.857999991087</v>
      </c>
      <c r="CA29" s="210">
        <f t="shared" si="40"/>
        <v>40161.558720000416</v>
      </c>
      <c r="CB29" s="592"/>
      <c r="CC29" s="1"/>
      <c r="CD29" s="1"/>
      <c r="CE29" s="1"/>
      <c r="CF29" s="1"/>
      <c r="CG29" s="1"/>
      <c r="CH29" s="1"/>
    </row>
    <row r="30" spans="1:86" ht="27" customHeight="1" x14ac:dyDescent="0.35">
      <c r="A30" s="1"/>
      <c r="B30" s="29">
        <v>23</v>
      </c>
      <c r="C30" s="30" t="s">
        <v>157</v>
      </c>
      <c r="D30" s="765">
        <f t="shared" ref="D30" si="277">ROUND(IF(AD30&lt;205,SUM(-320030000,6636771*AD30,-46046*AD30^2,106.62*AD30^3),SUM(91660160,1216002*AD30,-22168*AD30^2,71.366*AD30^3))/1000000,3)</f>
        <v>41.866999999999997</v>
      </c>
      <c r="E30" s="704">
        <f t="shared" ref="E30" si="278">ROUND((6669048.41-363409.186*AE30-307.876*AE30^2+152.3398*AE30^3)/1000000,3)</f>
        <v>20.376999999999999</v>
      </c>
      <c r="F30" s="704">
        <f t="shared" ref="F30" si="279">ROUND((-98334930.2+3037042.21*AF30-30615.40767*AF30^2+101.23056*AF30^3)/1000000,3)</f>
        <v>10.887</v>
      </c>
      <c r="G30" s="704">
        <f t="shared" ref="G30" si="280">AW30</f>
        <v>8.3550000000000004</v>
      </c>
      <c r="H30" s="704">
        <f t="shared" ref="H30" si="281">ROUND((-174502023+4277428*AG30-35009.373*AG30^2+95.58911*AG30^3)/1000000-0.096,3)</f>
        <v>3.5720000000000001</v>
      </c>
      <c r="I30" s="705">
        <f>ROUND(IF(AH30&lt;318,SUM(3.5242*AH30^2-2140.3*AH30+325031)/1000,SUM(70242780-813889.6*AH30+7928.716*AH30^2-35.20719*AH30^3+0.05082853*AH30^4)/1000000)-0.059,3)</f>
        <v>2.4449999999999998</v>
      </c>
      <c r="J30" s="706">
        <f t="shared" ref="J30" si="282">ROUND((-442650826+9751516.3*AI30-72042.8986*AI30^2+178.4049*AI30^3)/1000000,3)-0.071</f>
        <v>5.7640000000000002</v>
      </c>
      <c r="K30" s="704">
        <f t="shared" ref="K30" si="283">ROUND(((4827852-139329.3*AJ30+2797.9*AJ30^2-98.98*AJ30^3+1.14*AJ30^4)/1000000),3)-0.05</f>
        <v>7.1320000000000006</v>
      </c>
      <c r="L30" s="704">
        <f t="shared" ref="L30" si="284">ROUND((IF(AK30&lt;424,SUM(5064.49*AK30^2-4133655.98*AK30+843517073.2),(7938.48*AK30^2-6579376.11*AK30+1363834719.7)))/1000000,3)</f>
        <v>1.5169999999999999</v>
      </c>
      <c r="M30" s="706">
        <f t="shared" ref="M30" si="285">ROUND((-8532018+1417757*AL30-72752.08*AL30^2+1191.92*AL30^3)/1000000,3)</f>
        <v>0.14899999999999999</v>
      </c>
      <c r="N30" s="704">
        <f>ROUND((-98293225+2791565*AM30-26671.1*AM30^2+85.56608*AM30^3)/1000000,3)-0.001</f>
        <v>1.9480000000000002</v>
      </c>
      <c r="O30" s="704">
        <f t="shared" ref="O30" si="286">ROUND((-5101113+342273.3*AN30-5950.34*AN30^2+30.97425*AN30^3)/1000000,3)-0</f>
        <v>1.974</v>
      </c>
      <c r="P30" s="704">
        <f t="shared" ref="P30" si="287">ROUND((352562346-2208805*AO30+3459.655*AO30^2)/1000000,3)-0</f>
        <v>1.637</v>
      </c>
      <c r="Q30" s="704">
        <f t="shared" ref="Q30" si="288">ROUND((426242189-1669663*AP30+1635.186*AP30^2)/1000000,3)+0.033</f>
        <v>1.43</v>
      </c>
      <c r="R30" s="766">
        <f t="shared" ref="R30" si="289">ROUND((2823894-25900.1*AQ30-1177.84*AQ30^2+13.979*AQ30^3)/1000000,3)-0.005</f>
        <v>0.99</v>
      </c>
      <c r="S30" s="766">
        <f t="shared" ref="S30" si="290">ROUND((-11518534+483790.5*AR30-6823.11*AR30^2+32.24883*AR30^3)/1000000,3)+0</f>
        <v>0.86</v>
      </c>
      <c r="T30" s="767">
        <f t="shared" ref="T30" si="291">ROUND((406066983-1465679*AS30+1322.517*AS30^2)/1000000,3)-0.001</f>
        <v>0.36299999999999999</v>
      </c>
      <c r="U30" s="767">
        <f t="shared" ref="U30" si="292">ROUND((-13395930+388944*AT30-3702.68*AT30^2+11.59891*AT30^3)/1000000,3)-0</f>
        <v>0.29799999999999999</v>
      </c>
      <c r="V30" s="707">
        <f t="shared" ref="V30" si="293">SUM(D30:U30)</f>
        <v>111.565</v>
      </c>
      <c r="W30" s="708">
        <f t="shared" ref="W30" si="294">D30+H30+I30+J30+K30+L30+N30+M30</f>
        <v>64.394000000000005</v>
      </c>
      <c r="X30" s="33"/>
      <c r="Y30" s="31"/>
      <c r="AA30" s="35"/>
      <c r="AB30" s="30">
        <f t="shared" si="60"/>
        <v>23</v>
      </c>
      <c r="AC30" s="30" t="str">
        <f t="shared" si="61"/>
        <v>T</v>
      </c>
      <c r="AD30" s="588">
        <v>217.57</v>
      </c>
      <c r="AE30" s="578">
        <v>62.81</v>
      </c>
      <c r="AF30" s="760">
        <v>151.22</v>
      </c>
      <c r="AG30" s="578">
        <v>155.94999999999999</v>
      </c>
      <c r="AH30" s="588">
        <v>329.37</v>
      </c>
      <c r="AI30" s="578">
        <v>163.94</v>
      </c>
      <c r="AJ30" s="578">
        <v>79.42</v>
      </c>
      <c r="AK30" s="578">
        <v>425.17</v>
      </c>
      <c r="AL30" s="578">
        <f>$AL$3+4.01</f>
        <v>26.75</v>
      </c>
      <c r="AM30" s="578">
        <v>130.46</v>
      </c>
      <c r="AN30" s="578">
        <v>111.21</v>
      </c>
      <c r="AO30" s="578">
        <v>340.9</v>
      </c>
      <c r="AP30" s="578">
        <v>539.5</v>
      </c>
      <c r="AQ30" s="585">
        <v>88.49</v>
      </c>
      <c r="AR30" s="585">
        <v>99.79</v>
      </c>
      <c r="AS30" s="585">
        <v>571.1</v>
      </c>
      <c r="AT30" s="585">
        <v>139.6</v>
      </c>
      <c r="AU30" s="578"/>
      <c r="AV30" s="578">
        <v>401.92</v>
      </c>
      <c r="AW30" s="750">
        <v>8.3550000000000004</v>
      </c>
      <c r="AX30" s="761">
        <v>405</v>
      </c>
      <c r="AY30" s="762">
        <v>2.8</v>
      </c>
      <c r="AZ30" s="585">
        <v>397.8</v>
      </c>
      <c r="BA30" s="763">
        <v>2</v>
      </c>
      <c r="BB30" s="585">
        <v>359.5</v>
      </c>
      <c r="BC30" s="764">
        <f t="shared" ref="BC30" si="295">(2261.87*BB30^2-1423337.72*BB30+223819398.05)/1000000</f>
        <v>4.4541319775000217</v>
      </c>
      <c r="BD30" s="474"/>
      <c r="BE30" s="95"/>
      <c r="BF30" s="36"/>
      <c r="BG30" s="36"/>
      <c r="BH30" s="95"/>
      <c r="BI30" s="14">
        <v>23</v>
      </c>
      <c r="BJ30" s="15"/>
      <c r="BK30" s="210">
        <f t="shared" si="24"/>
        <v>1663098.4274597708</v>
      </c>
      <c r="BL30" s="210">
        <f t="shared" si="25"/>
        <v>1383693.0799291302</v>
      </c>
      <c r="BM30" s="210">
        <f t="shared" si="26"/>
        <v>704663.28310059942</v>
      </c>
      <c r="BN30" s="210">
        <f t="shared" si="27"/>
        <v>332651.29859499913</v>
      </c>
      <c r="BO30" s="210">
        <f t="shared" si="28"/>
        <v>212720.56131918728</v>
      </c>
      <c r="BP30" s="210">
        <f t="shared" si="29"/>
        <v>512739.37970992364</v>
      </c>
      <c r="BQ30" s="210">
        <f t="shared" si="30"/>
        <v>704799.67200000037</v>
      </c>
      <c r="BR30" s="210">
        <f t="shared" si="31"/>
        <v>180279.91319199651</v>
      </c>
      <c r="BS30" s="210">
        <f t="shared" si="32"/>
        <v>91444.774687498808</v>
      </c>
      <c r="BT30" s="210">
        <f t="shared" si="33"/>
        <v>194434.64209528003</v>
      </c>
      <c r="BU30" s="210">
        <f t="shared" si="34"/>
        <v>169208.18563064016</v>
      </c>
      <c r="BV30" s="210">
        <f t="shared" si="35"/>
        <v>156630.13434500061</v>
      </c>
      <c r="BW30" s="210">
        <f t="shared" si="36"/>
        <v>106652.96500000068</v>
      </c>
      <c r="BX30" s="210">
        <f t="shared" si="37"/>
        <v>96774.682760169875</v>
      </c>
      <c r="BY30" s="210">
        <f t="shared" si="38"/>
        <v>84902.277118409867</v>
      </c>
      <c r="BZ30" s="210">
        <f t="shared" si="39"/>
        <v>32593.857999991087</v>
      </c>
      <c r="CA30" s="210">
        <f t="shared" si="40"/>
        <v>40161.558720000416</v>
      </c>
      <c r="CB30" s="592"/>
      <c r="CC30" s="1"/>
      <c r="CD30" s="1"/>
      <c r="CE30" s="1"/>
      <c r="CF30" s="1"/>
      <c r="CG30" s="1"/>
      <c r="CH30" s="1"/>
    </row>
    <row r="31" spans="1:86" ht="27" customHeight="1" x14ac:dyDescent="0.35">
      <c r="A31" s="1"/>
      <c r="B31" s="29">
        <v>24</v>
      </c>
      <c r="C31" s="30" t="s">
        <v>191</v>
      </c>
      <c r="D31" s="21"/>
      <c r="E31" s="97"/>
      <c r="F31" s="97"/>
      <c r="G31" s="97"/>
      <c r="H31" s="97"/>
      <c r="I31" s="501"/>
      <c r="J31" s="502"/>
      <c r="K31" s="97"/>
      <c r="L31" s="97"/>
      <c r="M31" s="706"/>
      <c r="N31" s="97"/>
      <c r="O31" s="97"/>
      <c r="P31" s="97"/>
      <c r="Q31" s="704"/>
      <c r="R31" s="706"/>
      <c r="S31" s="706"/>
      <c r="T31" s="97"/>
      <c r="U31" s="97"/>
      <c r="V31" s="707"/>
      <c r="W31" s="708"/>
      <c r="X31" s="481"/>
      <c r="Y31" s="31"/>
      <c r="AA31" s="35"/>
      <c r="AB31" s="30">
        <f t="shared" si="60"/>
        <v>24</v>
      </c>
      <c r="AC31" s="30" t="str">
        <f t="shared" si="61"/>
        <v>F</v>
      </c>
      <c r="AD31" s="575"/>
      <c r="AE31" s="576"/>
      <c r="AF31" s="577"/>
      <c r="AG31" s="576"/>
      <c r="AH31" s="575"/>
      <c r="AI31" s="576"/>
      <c r="AJ31" s="576"/>
      <c r="AK31" s="576"/>
      <c r="AL31" s="578"/>
      <c r="AM31" s="576"/>
      <c r="AN31" s="576"/>
      <c r="AO31" s="576"/>
      <c r="AP31" s="578"/>
      <c r="AQ31" s="578"/>
      <c r="AR31" s="576"/>
      <c r="AS31" s="576"/>
      <c r="AT31" s="576"/>
      <c r="AU31" s="578"/>
      <c r="AV31" s="576"/>
      <c r="AW31" s="579"/>
      <c r="AX31" s="580"/>
      <c r="AY31" s="579"/>
      <c r="AZ31" s="576"/>
      <c r="BA31" s="581"/>
      <c r="BB31" s="578"/>
      <c r="BC31" s="589"/>
      <c r="BD31" s="474"/>
      <c r="BE31" s="95"/>
      <c r="BF31" s="36"/>
      <c r="BG31" s="36"/>
      <c r="BH31" s="95"/>
      <c r="BI31" s="14">
        <v>24</v>
      </c>
      <c r="BJ31" s="15"/>
      <c r="BK31" s="210">
        <f t="shared" si="24"/>
        <v>-4552010</v>
      </c>
      <c r="BL31" s="210">
        <f t="shared" si="25"/>
        <v>-3210651</v>
      </c>
      <c r="BM31" s="210">
        <f t="shared" si="26"/>
        <v>-737886.6</v>
      </c>
      <c r="BN31" s="210">
        <f t="shared" si="27"/>
        <v>4001977</v>
      </c>
      <c r="BO31" s="210">
        <f t="shared" si="28"/>
        <v>12256870</v>
      </c>
      <c r="BP31" s="210">
        <f t="shared" si="29"/>
        <v>9095248</v>
      </c>
      <c r="BQ31" s="210">
        <f t="shared" si="30"/>
        <v>3124600</v>
      </c>
      <c r="BR31" s="210">
        <f t="shared" si="31"/>
        <v>34168761.890000001</v>
      </c>
      <c r="BS31" s="210">
        <f t="shared" si="32"/>
        <v>5190570</v>
      </c>
      <c r="BT31" s="210">
        <f t="shared" si="33"/>
        <v>2078600.0000000002</v>
      </c>
      <c r="BU31" s="210">
        <f t="shared" si="34"/>
        <v>4123700</v>
      </c>
      <c r="BV31" s="210">
        <f t="shared" si="35"/>
        <v>5708324</v>
      </c>
      <c r="BW31" s="210">
        <f t="shared" si="36"/>
        <v>13077490</v>
      </c>
      <c r="BX31" s="210">
        <f t="shared" si="37"/>
        <v>333607.90000000002</v>
      </c>
      <c r="BY31" s="210">
        <f t="shared" si="38"/>
        <v>-1066190</v>
      </c>
      <c r="BZ31" s="210">
        <f t="shared" si="39"/>
        <v>-29233300</v>
      </c>
      <c r="CA31" s="210">
        <f t="shared" si="40"/>
        <v>1496647</v>
      </c>
      <c r="CB31" s="592"/>
      <c r="CC31" s="1"/>
      <c r="CD31" s="1"/>
      <c r="CE31" s="1"/>
      <c r="CF31" s="1"/>
      <c r="CG31" s="1"/>
      <c r="CH31" s="1"/>
    </row>
    <row r="32" spans="1:86" ht="27" customHeight="1" x14ac:dyDescent="0.35">
      <c r="A32" s="1"/>
      <c r="B32" s="29">
        <v>25</v>
      </c>
      <c r="C32" s="584" t="s">
        <v>192</v>
      </c>
      <c r="D32" s="21"/>
      <c r="E32" s="97"/>
      <c r="F32" s="97"/>
      <c r="G32" s="97"/>
      <c r="H32" s="704"/>
      <c r="I32" s="705"/>
      <c r="J32" s="706"/>
      <c r="K32" s="97"/>
      <c r="L32" s="97"/>
      <c r="M32" s="706"/>
      <c r="N32" s="97"/>
      <c r="O32" s="97"/>
      <c r="P32" s="97"/>
      <c r="Q32" s="704"/>
      <c r="R32" s="706"/>
      <c r="S32" s="706"/>
      <c r="T32" s="97"/>
      <c r="U32" s="704"/>
      <c r="V32" s="707"/>
      <c r="W32" s="708"/>
      <c r="X32" s="481"/>
      <c r="Y32" s="31"/>
      <c r="AA32" s="35"/>
      <c r="AB32" s="30">
        <f t="shared" si="60"/>
        <v>25</v>
      </c>
      <c r="AC32" s="30" t="str">
        <f t="shared" si="61"/>
        <v>S</v>
      </c>
      <c r="AD32" s="575"/>
      <c r="AE32" s="576"/>
      <c r="AF32" s="577"/>
      <c r="AG32" s="578"/>
      <c r="AH32" s="588"/>
      <c r="AI32" s="578"/>
      <c r="AJ32" s="576"/>
      <c r="AK32" s="576"/>
      <c r="AL32" s="578"/>
      <c r="AM32" s="576"/>
      <c r="AN32" s="576"/>
      <c r="AO32" s="576"/>
      <c r="AP32" s="578"/>
      <c r="AQ32" s="578"/>
      <c r="AR32" s="576"/>
      <c r="AS32" s="576"/>
      <c r="AT32" s="578"/>
      <c r="AU32" s="578"/>
      <c r="AV32" s="576"/>
      <c r="AW32" s="579"/>
      <c r="AX32" s="580"/>
      <c r="AY32" s="579"/>
      <c r="AZ32" s="576"/>
      <c r="BA32" s="581"/>
      <c r="BB32" s="578"/>
      <c r="BC32" s="589"/>
      <c r="BD32" s="474"/>
      <c r="BE32" s="95"/>
      <c r="BF32" s="36"/>
      <c r="BG32" s="36"/>
      <c r="BH32" s="95"/>
      <c r="BI32" s="14">
        <v>25</v>
      </c>
      <c r="BJ32" s="15"/>
      <c r="BK32" s="210">
        <f t="shared" si="24"/>
        <v>-4552010</v>
      </c>
      <c r="BL32" s="210">
        <f t="shared" si="25"/>
        <v>-3210651</v>
      </c>
      <c r="BM32" s="210">
        <f t="shared" si="26"/>
        <v>-737886.6</v>
      </c>
      <c r="BN32" s="210">
        <f t="shared" si="27"/>
        <v>4001977</v>
      </c>
      <c r="BO32" s="210">
        <f t="shared" si="28"/>
        <v>12256870</v>
      </c>
      <c r="BP32" s="210">
        <f t="shared" si="29"/>
        <v>9095248</v>
      </c>
      <c r="BQ32" s="210">
        <f t="shared" si="30"/>
        <v>3124600</v>
      </c>
      <c r="BR32" s="210">
        <f t="shared" si="31"/>
        <v>34168761.890000001</v>
      </c>
      <c r="BS32" s="210">
        <f t="shared" si="32"/>
        <v>5190570</v>
      </c>
      <c r="BT32" s="210">
        <f t="shared" si="33"/>
        <v>2078600.0000000002</v>
      </c>
      <c r="BU32" s="210">
        <f t="shared" si="34"/>
        <v>4123700</v>
      </c>
      <c r="BV32" s="210">
        <f t="shared" si="35"/>
        <v>5708324</v>
      </c>
      <c r="BW32" s="210">
        <f t="shared" si="36"/>
        <v>13077490</v>
      </c>
      <c r="BX32" s="210">
        <f t="shared" si="37"/>
        <v>333607.90000000002</v>
      </c>
      <c r="BY32" s="210">
        <f t="shared" si="38"/>
        <v>-1066190</v>
      </c>
      <c r="BZ32" s="210">
        <f t="shared" si="39"/>
        <v>-29233300</v>
      </c>
      <c r="CA32" s="210">
        <f t="shared" si="40"/>
        <v>1496647</v>
      </c>
      <c r="CB32" s="592"/>
      <c r="CC32" s="1"/>
      <c r="CD32" s="1"/>
      <c r="CE32" s="1"/>
      <c r="CF32" s="1"/>
      <c r="CG32" s="1"/>
      <c r="CH32" s="1"/>
    </row>
    <row r="33" spans="1:86" ht="27" customHeight="1" x14ac:dyDescent="0.35">
      <c r="A33" s="1"/>
      <c r="B33" s="29">
        <v>26</v>
      </c>
      <c r="C33" s="584" t="s">
        <v>192</v>
      </c>
      <c r="D33" s="21"/>
      <c r="E33" s="97"/>
      <c r="F33" s="97"/>
      <c r="G33" s="97"/>
      <c r="H33" s="97"/>
      <c r="I33" s="501"/>
      <c r="J33" s="502"/>
      <c r="K33" s="97"/>
      <c r="L33" s="97"/>
      <c r="M33" s="706"/>
      <c r="N33" s="97"/>
      <c r="O33" s="97"/>
      <c r="P33" s="97"/>
      <c r="Q33" s="704"/>
      <c r="R33" s="706"/>
      <c r="S33" s="706"/>
      <c r="T33" s="97"/>
      <c r="U33" s="97"/>
      <c r="V33" s="707"/>
      <c r="W33" s="708"/>
      <c r="X33" s="481"/>
      <c r="Y33" s="31"/>
      <c r="AA33" s="35"/>
      <c r="AB33" s="30">
        <f t="shared" si="60"/>
        <v>26</v>
      </c>
      <c r="AC33" s="30" t="str">
        <f t="shared" si="61"/>
        <v>S</v>
      </c>
      <c r="AD33" s="575"/>
      <c r="AE33" s="576"/>
      <c r="AF33" s="577"/>
      <c r="AG33" s="576"/>
      <c r="AH33" s="575"/>
      <c r="AI33" s="576"/>
      <c r="AJ33" s="576"/>
      <c r="AK33" s="576"/>
      <c r="AL33" s="578"/>
      <c r="AM33" s="576"/>
      <c r="AN33" s="576"/>
      <c r="AO33" s="576"/>
      <c r="AP33" s="578"/>
      <c r="AQ33" s="578"/>
      <c r="AR33" s="576"/>
      <c r="AS33" s="576"/>
      <c r="AT33" s="576"/>
      <c r="AU33" s="578"/>
      <c r="AV33" s="576"/>
      <c r="AW33" s="579"/>
      <c r="AX33" s="580"/>
      <c r="AY33" s="579"/>
      <c r="AZ33" s="576"/>
      <c r="BA33" s="581"/>
      <c r="BB33" s="578"/>
      <c r="BC33" s="589"/>
      <c r="BD33" s="474"/>
      <c r="BE33" s="95"/>
      <c r="BF33" s="36"/>
      <c r="BG33" s="36"/>
      <c r="BH33" s="95"/>
      <c r="BI33" s="14">
        <v>26</v>
      </c>
      <c r="BJ33" s="15"/>
      <c r="BK33" s="210">
        <f>-4552010+77862.43*AD33-528.064*AD33^2+1.3857*AD33^3</f>
        <v>-4552010</v>
      </c>
      <c r="BL33" s="210">
        <f>-3210651+145404.1*AE33-2052.163*AE33^2+14.3568*AE33^3</f>
        <v>-3210651</v>
      </c>
      <c r="BM33" s="210">
        <f>IF(BK33&lt;140,-737886.6-3612.887*AF33+84.47319*AF33^2,7040924-115283.7*AF33+485.2715*AF33^2)</f>
        <v>-737886.6</v>
      </c>
      <c r="BN33" s="210">
        <f>4001977-66502.13*AG33+275.558*AG33^2</f>
        <v>4001977</v>
      </c>
      <c r="BO33" s="210">
        <f>12256870-84903.96*AH33+146.7551*AH33^2</f>
        <v>12256870</v>
      </c>
      <c r="BP33" s="210">
        <f>9095248-135970.3*AI33+510.0572*AI33^2</f>
        <v>9095248</v>
      </c>
      <c r="BQ33" s="210">
        <f>IF(BO33&lt;73.2,-180.3+3.1*AJ33,312.46-10.83*AJ33+0.098*AJ33^2)*10000</f>
        <v>3124600</v>
      </c>
      <c r="BR33" s="210">
        <f>(219.28*AK33^2-173172.2*AK33+34168761.89)</f>
        <v>34168761.890000001</v>
      </c>
      <c r="BS33" s="210">
        <f>5190570-498758.9*AL33+14528.53*AL33^2-112.5*AL33^3</f>
        <v>5190570</v>
      </c>
      <c r="BT33" s="210">
        <f>(207.86-3.07416*AM33+0.00297*AM33^2+0.000073*AM33^3)*10000</f>
        <v>2078600.0000000002</v>
      </c>
      <c r="BU33" s="210">
        <f>(412.37-12.56*AN33+0.12278*AN33^2-0.000376*AN33^3)*10000</f>
        <v>4123700</v>
      </c>
      <c r="BV33" s="210">
        <f>(5708324-41094.23*AO33+72.7745*AO33^2)</f>
        <v>5708324</v>
      </c>
      <c r="BW33" s="210">
        <f>(1307.749-5.30998*AP33+0.005386*AP33^2)*10000</f>
        <v>13077490</v>
      </c>
      <c r="BX33" s="210">
        <f>(33.36079-1.57235*AQ33+0.020673*AQ33^2-0.000067*AQ33^3)*10000</f>
        <v>333607.90000000002</v>
      </c>
      <c r="BY33" s="210">
        <f>(-106.619+3.872392*AR33-0.0491*AR33^2+0.000219*AR33^3)*10000</f>
        <v>-1066190</v>
      </c>
      <c r="BZ33" s="210">
        <f>(-2923.33+10.10447*AS33-0.00872*AS33^2)*10000</f>
        <v>-29233300</v>
      </c>
      <c r="CA33" s="210">
        <f>(149.6647-3.26844*AT33+0.02264*AT33^2-0.000048*AT33^3)*10000</f>
        <v>1496647</v>
      </c>
      <c r="CB33" s="592"/>
      <c r="CC33" s="1"/>
      <c r="CD33" s="1"/>
      <c r="CE33" s="1"/>
      <c r="CF33" s="1"/>
      <c r="CG33" s="1"/>
      <c r="CH33" s="1"/>
    </row>
    <row r="34" spans="1:86" ht="27" customHeight="1" x14ac:dyDescent="0.35">
      <c r="A34" s="1"/>
      <c r="B34" s="29">
        <v>27</v>
      </c>
      <c r="C34" s="30" t="s">
        <v>32</v>
      </c>
      <c r="D34" s="21"/>
      <c r="E34" s="97"/>
      <c r="F34" s="97"/>
      <c r="G34" s="97"/>
      <c r="H34" s="97"/>
      <c r="I34" s="501"/>
      <c r="J34" s="502"/>
      <c r="K34" s="97"/>
      <c r="L34" s="97"/>
      <c r="M34" s="502"/>
      <c r="N34" s="97"/>
      <c r="O34" s="97"/>
      <c r="P34" s="97"/>
      <c r="Q34" s="704"/>
      <c r="R34" s="706"/>
      <c r="S34" s="706"/>
      <c r="T34" s="97"/>
      <c r="U34" s="97"/>
      <c r="V34" s="707"/>
      <c r="W34" s="708"/>
      <c r="X34" s="481"/>
      <c r="Y34" s="31"/>
      <c r="AA34" s="35"/>
      <c r="AB34" s="30">
        <f t="shared" si="60"/>
        <v>27</v>
      </c>
      <c r="AC34" s="30" t="str">
        <f t="shared" si="61"/>
        <v>M</v>
      </c>
      <c r="AD34" s="575"/>
      <c r="AE34" s="576"/>
      <c r="AF34" s="577"/>
      <c r="AG34" s="576"/>
      <c r="AH34" s="575"/>
      <c r="AI34" s="576"/>
      <c r="AJ34" s="576"/>
      <c r="AK34" s="576"/>
      <c r="AL34" s="576"/>
      <c r="AM34" s="576"/>
      <c r="AN34" s="576"/>
      <c r="AO34" s="576"/>
      <c r="AP34" s="578"/>
      <c r="AQ34" s="578"/>
      <c r="AR34" s="576"/>
      <c r="AS34" s="576"/>
      <c r="AT34" s="576"/>
      <c r="AU34" s="578"/>
      <c r="AV34" s="576"/>
      <c r="AW34" s="579"/>
      <c r="AX34" s="580"/>
      <c r="AY34" s="579"/>
      <c r="AZ34" s="576"/>
      <c r="BA34" s="581"/>
      <c r="BB34" s="578"/>
      <c r="BC34" s="589"/>
      <c r="BD34" s="590"/>
      <c r="BE34" s="95"/>
      <c r="BF34" s="36"/>
      <c r="BG34" s="36"/>
      <c r="BH34" s="95"/>
      <c r="BI34" s="14">
        <v>27</v>
      </c>
      <c r="BJ34" s="15"/>
      <c r="BK34" s="210">
        <f t="shared" si="24"/>
        <v>-4552010</v>
      </c>
      <c r="BL34" s="210">
        <f t="shared" si="25"/>
        <v>-3210651</v>
      </c>
      <c r="BM34" s="210">
        <f t="shared" si="26"/>
        <v>-737886.6</v>
      </c>
      <c r="BN34" s="210">
        <f t="shared" si="27"/>
        <v>4001977</v>
      </c>
      <c r="BO34" s="210">
        <f t="shared" si="28"/>
        <v>12256870</v>
      </c>
      <c r="BP34" s="210">
        <f t="shared" si="29"/>
        <v>9095248</v>
      </c>
      <c r="BQ34" s="210">
        <f t="shared" si="30"/>
        <v>3124600</v>
      </c>
      <c r="BR34" s="210">
        <f t="shared" si="31"/>
        <v>34168761.890000001</v>
      </c>
      <c r="BS34" s="210">
        <f t="shared" si="32"/>
        <v>5190570</v>
      </c>
      <c r="BT34" s="210">
        <f t="shared" si="33"/>
        <v>2078600.0000000002</v>
      </c>
      <c r="BU34" s="210">
        <f t="shared" si="34"/>
        <v>4123700</v>
      </c>
      <c r="BV34" s="210">
        <f t="shared" si="35"/>
        <v>5708324</v>
      </c>
      <c r="BW34" s="210">
        <f t="shared" si="36"/>
        <v>13077490</v>
      </c>
      <c r="BX34" s="210">
        <f t="shared" si="37"/>
        <v>333607.90000000002</v>
      </c>
      <c r="BY34" s="210">
        <f t="shared" si="38"/>
        <v>-1066190</v>
      </c>
      <c r="BZ34" s="210">
        <f t="shared" si="39"/>
        <v>-29233300</v>
      </c>
      <c r="CA34" s="210">
        <f t="shared" si="40"/>
        <v>1496647</v>
      </c>
      <c r="CB34" s="592"/>
      <c r="CC34" s="1"/>
      <c r="CD34" s="1"/>
      <c r="CE34" s="1"/>
      <c r="CF34" s="1"/>
      <c r="CG34" s="1"/>
      <c r="CH34" s="1"/>
    </row>
    <row r="35" spans="1:86" ht="27" customHeight="1" x14ac:dyDescent="0.35">
      <c r="A35" s="1"/>
      <c r="B35" s="29">
        <v>28</v>
      </c>
      <c r="C35" s="30" t="s">
        <v>157</v>
      </c>
      <c r="D35" s="21"/>
      <c r="E35" s="97"/>
      <c r="F35" s="97"/>
      <c r="G35" s="97"/>
      <c r="H35" s="97"/>
      <c r="I35" s="501"/>
      <c r="J35" s="502"/>
      <c r="K35" s="97"/>
      <c r="L35" s="97"/>
      <c r="M35" s="706"/>
      <c r="N35" s="97"/>
      <c r="O35" s="97"/>
      <c r="P35" s="97"/>
      <c r="Q35" s="704"/>
      <c r="R35" s="706"/>
      <c r="S35" s="706"/>
      <c r="T35" s="97"/>
      <c r="U35" s="97"/>
      <c r="V35" s="707"/>
      <c r="W35" s="708"/>
      <c r="X35" s="481"/>
      <c r="Y35" s="31"/>
      <c r="AA35" s="35"/>
      <c r="AB35" s="30">
        <f t="shared" si="60"/>
        <v>28</v>
      </c>
      <c r="AC35" s="30" t="str">
        <f t="shared" si="61"/>
        <v>T</v>
      </c>
      <c r="AD35" s="575"/>
      <c r="AE35" s="576"/>
      <c r="AF35" s="577"/>
      <c r="AG35" s="578"/>
      <c r="AH35" s="588"/>
      <c r="AI35" s="578"/>
      <c r="AJ35" s="576"/>
      <c r="AK35" s="576"/>
      <c r="AL35" s="578"/>
      <c r="AM35" s="576"/>
      <c r="AN35" s="576"/>
      <c r="AO35" s="576"/>
      <c r="AP35" s="576"/>
      <c r="AQ35" s="576"/>
      <c r="AR35" s="576"/>
      <c r="AS35" s="576"/>
      <c r="AT35" s="576"/>
      <c r="AU35" s="578"/>
      <c r="AV35" s="576"/>
      <c r="AW35" s="579"/>
      <c r="AX35" s="580"/>
      <c r="AY35" s="579"/>
      <c r="AZ35" s="576"/>
      <c r="BA35" s="581"/>
      <c r="BB35" s="578"/>
      <c r="BC35" s="589"/>
      <c r="BD35" s="590"/>
      <c r="BE35" s="95"/>
      <c r="BF35" s="36"/>
      <c r="BG35" s="36"/>
      <c r="BH35" s="95"/>
      <c r="BI35" s="14">
        <v>28</v>
      </c>
      <c r="BJ35" s="15"/>
      <c r="BK35" s="210">
        <f t="shared" si="24"/>
        <v>-4552010</v>
      </c>
      <c r="BL35" s="210">
        <f t="shared" si="25"/>
        <v>-3210651</v>
      </c>
      <c r="BM35" s="210">
        <f t="shared" si="26"/>
        <v>-737886.6</v>
      </c>
      <c r="BN35" s="210">
        <f t="shared" si="27"/>
        <v>4001977</v>
      </c>
      <c r="BO35" s="210">
        <f t="shared" si="28"/>
        <v>12256870</v>
      </c>
      <c r="BP35" s="210">
        <f t="shared" si="29"/>
        <v>9095248</v>
      </c>
      <c r="BQ35" s="210">
        <f t="shared" si="30"/>
        <v>3124600</v>
      </c>
      <c r="BR35" s="210">
        <f t="shared" si="31"/>
        <v>34168761.890000001</v>
      </c>
      <c r="BS35" s="210">
        <f t="shared" si="32"/>
        <v>5190570</v>
      </c>
      <c r="BT35" s="210">
        <f t="shared" si="33"/>
        <v>2078600.0000000002</v>
      </c>
      <c r="BU35" s="210">
        <f t="shared" si="34"/>
        <v>4123700</v>
      </c>
      <c r="BV35" s="210">
        <f t="shared" si="35"/>
        <v>5708324</v>
      </c>
      <c r="BW35" s="210">
        <f t="shared" si="36"/>
        <v>13077490</v>
      </c>
      <c r="BX35" s="210">
        <f t="shared" si="37"/>
        <v>333607.90000000002</v>
      </c>
      <c r="BY35" s="210">
        <f t="shared" si="38"/>
        <v>-1066190</v>
      </c>
      <c r="BZ35" s="210">
        <f t="shared" si="39"/>
        <v>-29233300</v>
      </c>
      <c r="CA35" s="210">
        <f t="shared" si="40"/>
        <v>1496647</v>
      </c>
      <c r="CB35" s="592"/>
      <c r="CC35" s="1"/>
      <c r="CD35" s="1"/>
      <c r="CE35" s="1"/>
      <c r="CF35" s="1"/>
      <c r="CG35" s="1"/>
      <c r="CH35" s="1"/>
    </row>
    <row r="36" spans="1:86" ht="27" customHeight="1" x14ac:dyDescent="0.35">
      <c r="A36" s="1"/>
      <c r="B36" s="29">
        <v>29</v>
      </c>
      <c r="C36" s="30" t="s">
        <v>190</v>
      </c>
      <c r="D36" s="21"/>
      <c r="E36" s="97"/>
      <c r="F36" s="97"/>
      <c r="G36" s="97"/>
      <c r="H36" s="97"/>
      <c r="I36" s="501"/>
      <c r="J36" s="502"/>
      <c r="K36" s="97"/>
      <c r="L36" s="704"/>
      <c r="M36" s="706"/>
      <c r="N36" s="97"/>
      <c r="O36" s="97"/>
      <c r="P36" s="97"/>
      <c r="Q36" s="704"/>
      <c r="R36" s="706"/>
      <c r="S36" s="706"/>
      <c r="T36" s="97"/>
      <c r="U36" s="97"/>
      <c r="V36" s="707"/>
      <c r="W36" s="708"/>
      <c r="X36" s="481"/>
      <c r="Y36" s="31"/>
      <c r="AA36" s="35"/>
      <c r="AB36" s="30">
        <f t="shared" si="60"/>
        <v>29</v>
      </c>
      <c r="AC36" s="30" t="str">
        <f t="shared" si="61"/>
        <v>W</v>
      </c>
      <c r="AD36" s="575"/>
      <c r="AE36" s="576"/>
      <c r="AF36" s="577"/>
      <c r="AG36" s="576"/>
      <c r="AH36" s="575"/>
      <c r="AI36" s="576"/>
      <c r="AJ36" s="576"/>
      <c r="AK36" s="578"/>
      <c r="AL36" s="578"/>
      <c r="AM36" s="576"/>
      <c r="AN36" s="576"/>
      <c r="AO36" s="576"/>
      <c r="AP36" s="576"/>
      <c r="AQ36" s="578"/>
      <c r="AR36" s="576"/>
      <c r="AS36" s="576"/>
      <c r="AT36" s="576"/>
      <c r="AU36" s="578"/>
      <c r="AV36" s="576"/>
      <c r="AW36" s="579"/>
      <c r="AX36" s="580"/>
      <c r="AY36" s="579"/>
      <c r="AZ36" s="576"/>
      <c r="BA36" s="581"/>
      <c r="BB36" s="578"/>
      <c r="BC36" s="589"/>
      <c r="BD36" s="474"/>
      <c r="BE36" s="95"/>
      <c r="BF36" s="36"/>
      <c r="BG36" s="36"/>
      <c r="BH36" s="95"/>
      <c r="BI36" s="14">
        <v>29</v>
      </c>
      <c r="BJ36" s="14"/>
      <c r="BK36" s="503">
        <f>-4552010+77862.43*AD36-528.064*AD36^2+1.3857*AD36^3</f>
        <v>-4552010</v>
      </c>
      <c r="BL36" s="503">
        <f>-3210651+145404.1*AE36-2052.163*AE36^2+14.3568*AE36^3</f>
        <v>-3210651</v>
      </c>
      <c r="BM36" s="503">
        <f>IF(BK36&lt;140,-737886.6-3612.887*AF36+84.47319*AF36^2,7040924-115283.7*AF36+485.2715*AF36^2)</f>
        <v>-737886.6</v>
      </c>
      <c r="BN36" s="503">
        <f>4001977-66502.13*AG36+275.558*AG36^2</f>
        <v>4001977</v>
      </c>
      <c r="BO36" s="503">
        <f>12256870-84903.96*AH36+146.7551*AH36^2</f>
        <v>12256870</v>
      </c>
      <c r="BP36" s="503">
        <f>9095248-135970.3*AI36+510.0572*AI36^2</f>
        <v>9095248</v>
      </c>
      <c r="BQ36" s="503">
        <f>IF(BO36&lt;73.2,-180.3+3.1*AJ36,312.46-10.83*AJ36+0.098*AJ36^2)*10000</f>
        <v>3124600</v>
      </c>
      <c r="BR36" s="503">
        <f>(219.28*AK36^2-173172.2*AK36+34168761.89)</f>
        <v>34168761.890000001</v>
      </c>
      <c r="BS36" s="503">
        <f>5190570-498758.9*AL36+14528.53*AL36^2-112.5*AL36^3</f>
        <v>5190570</v>
      </c>
      <c r="BT36" s="503">
        <f>(207.86-3.07416*AM36+0.00297*AM36^2+0.000073*AM36^3)*10000</f>
        <v>2078600.0000000002</v>
      </c>
      <c r="BU36" s="503">
        <f>(412.37-12.56*AN36+0.12278*AN36^2-0.000376*AN36^3)*10000</f>
        <v>4123700</v>
      </c>
      <c r="BV36" s="503">
        <f>(5708324-41094.23*AO36+72.7745*AO36^2)</f>
        <v>5708324</v>
      </c>
      <c r="BW36" s="503">
        <f>(1307.749-5.30998*AP36+0.005386*AP36^2)*10000</f>
        <v>13077490</v>
      </c>
      <c r="BX36" s="503">
        <f>(33.36079-1.57235*AQ36+0.020673*AQ36^2-0.000067*AQ36^3)*10000</f>
        <v>333607.90000000002</v>
      </c>
      <c r="BY36" s="503">
        <f>(-106.619+3.872392*AR36-0.0491*AR36^2+0.000219*AR36^3)*10000</f>
        <v>-1066190</v>
      </c>
      <c r="BZ36" s="503">
        <f>(-2923.33+10.10447*AS36-0.00872*AS36^2)*10000</f>
        <v>-29233300</v>
      </c>
      <c r="CA36" s="503">
        <f>(149.6647-3.26844*AT36+0.02264*AT36^2-0.000048*AT36^3)*10000</f>
        <v>1496647</v>
      </c>
      <c r="CB36" s="96"/>
      <c r="CC36" s="1"/>
      <c r="CD36" s="1"/>
      <c r="CE36" s="1"/>
      <c r="CF36" s="1"/>
      <c r="CG36" s="1"/>
      <c r="CH36" s="1"/>
    </row>
    <row r="37" spans="1:86" ht="27" customHeight="1" x14ac:dyDescent="0.35">
      <c r="A37" s="1"/>
      <c r="B37" s="29">
        <v>30</v>
      </c>
      <c r="C37" s="30" t="s">
        <v>157</v>
      </c>
      <c r="D37" s="21"/>
      <c r="E37" s="97"/>
      <c r="F37" s="97"/>
      <c r="G37" s="97"/>
      <c r="H37" s="97"/>
      <c r="I37" s="501"/>
      <c r="J37" s="502"/>
      <c r="K37" s="97"/>
      <c r="L37" s="97"/>
      <c r="M37" s="706"/>
      <c r="N37" s="97"/>
      <c r="O37" s="97"/>
      <c r="P37" s="97"/>
      <c r="Q37" s="704"/>
      <c r="R37" s="706"/>
      <c r="S37" s="706"/>
      <c r="T37" s="97"/>
      <c r="U37" s="97"/>
      <c r="V37" s="707"/>
      <c r="W37" s="708"/>
      <c r="X37" s="481"/>
      <c r="Y37" s="31"/>
      <c r="AA37" s="35"/>
      <c r="AB37" s="30">
        <f t="shared" si="60"/>
        <v>30</v>
      </c>
      <c r="AC37" s="30" t="str">
        <f t="shared" si="61"/>
        <v>T</v>
      </c>
      <c r="AD37" s="575"/>
      <c r="AE37" s="576"/>
      <c r="AF37" s="577"/>
      <c r="AG37" s="576"/>
      <c r="AH37" s="575"/>
      <c r="AI37" s="576"/>
      <c r="AJ37" s="576"/>
      <c r="AK37" s="576"/>
      <c r="AL37" s="578"/>
      <c r="AM37" s="576"/>
      <c r="AN37" s="576"/>
      <c r="AO37" s="576"/>
      <c r="AP37" s="576"/>
      <c r="AQ37" s="578"/>
      <c r="AR37" s="576"/>
      <c r="AS37" s="576"/>
      <c r="AT37" s="576"/>
      <c r="AU37" s="578"/>
      <c r="AV37" s="576"/>
      <c r="AW37" s="579"/>
      <c r="AX37" s="580"/>
      <c r="AY37" s="579"/>
      <c r="AZ37" s="576"/>
      <c r="BA37" s="581"/>
      <c r="BB37" s="578"/>
      <c r="BC37" s="589"/>
      <c r="BD37" s="474"/>
      <c r="BE37" s="95"/>
      <c r="BF37" s="36"/>
      <c r="BG37" s="36"/>
      <c r="BH37" s="95"/>
      <c r="BI37" s="14">
        <v>30</v>
      </c>
      <c r="BJ37" s="14"/>
      <c r="BK37" s="503">
        <f t="shared" si="24"/>
        <v>-4552010</v>
      </c>
      <c r="BL37" s="503">
        <f t="shared" si="25"/>
        <v>-3210651</v>
      </c>
      <c r="BM37" s="503">
        <f t="shared" si="26"/>
        <v>-737886.6</v>
      </c>
      <c r="BN37" s="503">
        <f t="shared" si="27"/>
        <v>4001977</v>
      </c>
      <c r="BO37" s="503">
        <f t="shared" si="28"/>
        <v>12256870</v>
      </c>
      <c r="BP37" s="503">
        <f t="shared" si="29"/>
        <v>9095248</v>
      </c>
      <c r="BQ37" s="503">
        <f t="shared" si="30"/>
        <v>3124600</v>
      </c>
      <c r="BR37" s="503">
        <f t="shared" si="31"/>
        <v>34168761.890000001</v>
      </c>
      <c r="BS37" s="503">
        <f t="shared" si="32"/>
        <v>5190570</v>
      </c>
      <c r="BT37" s="503">
        <f t="shared" si="33"/>
        <v>2078600.0000000002</v>
      </c>
      <c r="BU37" s="503">
        <f t="shared" si="34"/>
        <v>4123700</v>
      </c>
      <c r="BV37" s="503">
        <f t="shared" si="35"/>
        <v>5708324</v>
      </c>
      <c r="BW37" s="503">
        <f t="shared" si="36"/>
        <v>13077490</v>
      </c>
      <c r="BX37" s="503">
        <f t="shared" si="37"/>
        <v>333607.90000000002</v>
      </c>
      <c r="BY37" s="503">
        <f t="shared" si="38"/>
        <v>-1066190</v>
      </c>
      <c r="BZ37" s="503">
        <f t="shared" si="39"/>
        <v>-29233300</v>
      </c>
      <c r="CA37" s="503">
        <f t="shared" si="40"/>
        <v>1496647</v>
      </c>
      <c r="CB37" s="96"/>
      <c r="CC37" s="1"/>
      <c r="CD37" s="1"/>
      <c r="CE37" s="1"/>
      <c r="CF37" s="1"/>
      <c r="CG37" s="1"/>
      <c r="CH37" s="1"/>
    </row>
    <row r="38" spans="1:86" ht="27" customHeight="1" x14ac:dyDescent="0.35">
      <c r="A38" s="1"/>
      <c r="B38" s="29">
        <v>1</v>
      </c>
      <c r="C38" s="584" t="s">
        <v>191</v>
      </c>
      <c r="D38" s="21"/>
      <c r="E38" s="97"/>
      <c r="F38" s="97"/>
      <c r="G38" s="97"/>
      <c r="H38" s="704"/>
      <c r="I38" s="705"/>
      <c r="J38" s="706"/>
      <c r="K38" s="97"/>
      <c r="L38" s="97"/>
      <c r="M38" s="706"/>
      <c r="N38" s="97"/>
      <c r="O38" s="97"/>
      <c r="P38" s="97"/>
      <c r="Q38" s="704"/>
      <c r="R38" s="706"/>
      <c r="S38" s="706"/>
      <c r="T38" s="97"/>
      <c r="U38" s="97"/>
      <c r="V38" s="707"/>
      <c r="W38" s="708"/>
      <c r="X38" s="481"/>
      <c r="Y38" s="31"/>
      <c r="AA38" s="35"/>
      <c r="AB38" s="30">
        <f t="shared" si="60"/>
        <v>1</v>
      </c>
      <c r="AC38" s="30" t="str">
        <f t="shared" si="61"/>
        <v>F</v>
      </c>
      <c r="AD38" s="575"/>
      <c r="AE38" s="576"/>
      <c r="AF38" s="577"/>
      <c r="AG38" s="578"/>
      <c r="AH38" s="588"/>
      <c r="AI38" s="578"/>
      <c r="AJ38" s="576"/>
      <c r="AK38" s="576"/>
      <c r="AL38" s="578"/>
      <c r="AM38" s="576"/>
      <c r="AN38" s="576"/>
      <c r="AO38" s="576"/>
      <c r="AP38" s="576"/>
      <c r="AQ38" s="578"/>
      <c r="AR38" s="576"/>
      <c r="AS38" s="576"/>
      <c r="AT38" s="576"/>
      <c r="AU38" s="578"/>
      <c r="AV38" s="576"/>
      <c r="AW38" s="579"/>
      <c r="AX38" s="580"/>
      <c r="AY38" s="579"/>
      <c r="AZ38" s="576"/>
      <c r="BA38" s="581"/>
      <c r="BB38" s="578"/>
      <c r="BC38" s="589"/>
      <c r="BD38" s="474"/>
      <c r="BE38" s="95"/>
      <c r="BF38" s="36"/>
      <c r="BG38" s="36"/>
      <c r="BH38" s="95"/>
      <c r="BI38" s="14">
        <v>31</v>
      </c>
      <c r="BJ38" s="14"/>
      <c r="BK38" s="503">
        <f t="shared" si="24"/>
        <v>-4552010</v>
      </c>
      <c r="BL38" s="503">
        <f t="shared" si="25"/>
        <v>-3210651</v>
      </c>
      <c r="BM38" s="503">
        <f t="shared" si="26"/>
        <v>-737886.6</v>
      </c>
      <c r="BN38" s="503">
        <f t="shared" si="27"/>
        <v>4001977</v>
      </c>
      <c r="BO38" s="503">
        <f t="shared" si="28"/>
        <v>12256870</v>
      </c>
      <c r="BP38" s="503">
        <f t="shared" si="29"/>
        <v>9095248</v>
      </c>
      <c r="BQ38" s="503">
        <f t="shared" si="30"/>
        <v>3124600</v>
      </c>
      <c r="BR38" s="503">
        <f t="shared" si="31"/>
        <v>34168761.890000001</v>
      </c>
      <c r="BS38" s="503">
        <f t="shared" si="32"/>
        <v>5190570</v>
      </c>
      <c r="BT38" s="503">
        <f t="shared" si="33"/>
        <v>2078600.0000000002</v>
      </c>
      <c r="BU38" s="503">
        <f t="shared" si="34"/>
        <v>4123700</v>
      </c>
      <c r="BV38" s="503">
        <f t="shared" si="35"/>
        <v>5708324</v>
      </c>
      <c r="BW38" s="503">
        <f t="shared" si="36"/>
        <v>13077490</v>
      </c>
      <c r="BX38" s="503">
        <f t="shared" si="37"/>
        <v>333607.90000000002</v>
      </c>
      <c r="BY38" s="503">
        <f t="shared" si="38"/>
        <v>-1066190</v>
      </c>
      <c r="BZ38" s="503">
        <f t="shared" si="39"/>
        <v>-29233300</v>
      </c>
      <c r="CA38" s="503">
        <f t="shared" si="40"/>
        <v>1496647</v>
      </c>
      <c r="CB38" s="96"/>
      <c r="CC38" s="1"/>
      <c r="CD38" s="1"/>
      <c r="CE38" s="1"/>
      <c r="CF38" s="1"/>
      <c r="CG38" s="1"/>
      <c r="CH38" s="1"/>
    </row>
    <row r="39" spans="1:86" ht="27" customHeight="1" x14ac:dyDescent="0.35">
      <c r="A39" s="1"/>
      <c r="B39" s="29">
        <v>2</v>
      </c>
      <c r="C39" s="584" t="s">
        <v>192</v>
      </c>
      <c r="D39" s="21"/>
      <c r="E39" s="97"/>
      <c r="F39" s="97"/>
      <c r="G39" s="97"/>
      <c r="H39" s="97"/>
      <c r="I39" s="501"/>
      <c r="J39" s="502"/>
      <c r="K39" s="97"/>
      <c r="L39" s="97"/>
      <c r="M39" s="706"/>
      <c r="N39" s="97"/>
      <c r="O39" s="97"/>
      <c r="P39" s="97"/>
      <c r="Q39" s="704"/>
      <c r="R39" s="706"/>
      <c r="S39" s="706"/>
      <c r="T39" s="97"/>
      <c r="U39" s="97"/>
      <c r="V39" s="707"/>
      <c r="W39" s="708"/>
      <c r="X39" s="33"/>
      <c r="Y39" s="31"/>
      <c r="AA39" s="35"/>
      <c r="AB39" s="30">
        <f t="shared" si="60"/>
        <v>2</v>
      </c>
      <c r="AC39" s="30" t="str">
        <f t="shared" si="61"/>
        <v>S</v>
      </c>
      <c r="AD39" s="575"/>
      <c r="AE39" s="576"/>
      <c r="AF39" s="577"/>
      <c r="AG39" s="576"/>
      <c r="AH39" s="575"/>
      <c r="AI39" s="576"/>
      <c r="AJ39" s="576"/>
      <c r="AK39" s="576"/>
      <c r="AL39" s="578"/>
      <c r="AM39" s="576"/>
      <c r="AN39" s="576"/>
      <c r="AO39" s="576"/>
      <c r="AP39" s="576"/>
      <c r="AQ39" s="578"/>
      <c r="AR39" s="576"/>
      <c r="AS39" s="576"/>
      <c r="AT39" s="576"/>
      <c r="AU39" s="578"/>
      <c r="AV39" s="576"/>
      <c r="AW39" s="579"/>
      <c r="AX39" s="580"/>
      <c r="AY39" s="579"/>
      <c r="AZ39" s="576"/>
      <c r="BA39" s="581"/>
      <c r="BB39" s="578"/>
      <c r="BC39" s="589"/>
      <c r="BD39" s="474"/>
      <c r="BE39" s="95"/>
      <c r="BF39" s="36"/>
      <c r="BG39" s="36"/>
      <c r="BH39" s="95"/>
      <c r="BI39" s="4"/>
      <c r="BJ39" s="14"/>
      <c r="BK39" s="503">
        <f t="shared" si="24"/>
        <v>-4552010</v>
      </c>
      <c r="BL39" s="503">
        <f t="shared" si="25"/>
        <v>-3210651</v>
      </c>
      <c r="BM39" s="503">
        <f t="shared" si="26"/>
        <v>-737886.6</v>
      </c>
      <c r="BN39" s="503">
        <f t="shared" si="27"/>
        <v>4001977</v>
      </c>
      <c r="BO39" s="503">
        <f t="shared" si="28"/>
        <v>12256870</v>
      </c>
      <c r="BP39" s="503">
        <f t="shared" si="29"/>
        <v>9095248</v>
      </c>
      <c r="BQ39" s="503">
        <f t="shared" si="30"/>
        <v>3124600</v>
      </c>
      <c r="BR39" s="503">
        <f t="shared" si="31"/>
        <v>34168761.890000001</v>
      </c>
      <c r="BS39" s="503">
        <f t="shared" si="32"/>
        <v>5190570</v>
      </c>
      <c r="BT39" s="503">
        <f t="shared" si="33"/>
        <v>2078600.0000000002</v>
      </c>
      <c r="BU39" s="503">
        <f t="shared" si="34"/>
        <v>4123700</v>
      </c>
      <c r="BV39" s="503">
        <f t="shared" si="35"/>
        <v>5708324</v>
      </c>
      <c r="BW39" s="503">
        <f t="shared" si="36"/>
        <v>13077490</v>
      </c>
      <c r="BX39" s="503">
        <f t="shared" si="37"/>
        <v>333607.90000000002</v>
      </c>
      <c r="BY39" s="503">
        <f t="shared" si="38"/>
        <v>-1066190</v>
      </c>
      <c r="BZ39" s="503">
        <f t="shared" si="39"/>
        <v>-29233300</v>
      </c>
      <c r="CA39" s="503">
        <f t="shared" si="40"/>
        <v>1496647</v>
      </c>
      <c r="CB39" s="96"/>
      <c r="CC39" s="1"/>
      <c r="CD39" s="1"/>
      <c r="CE39" s="1"/>
      <c r="CF39" s="1"/>
      <c r="CG39" s="1"/>
      <c r="CH39" s="1"/>
    </row>
    <row r="40" spans="1:86" ht="27" customHeight="1" x14ac:dyDescent="0.35">
      <c r="A40" s="1"/>
      <c r="B40" s="29">
        <v>3</v>
      </c>
      <c r="C40" s="584" t="s">
        <v>192</v>
      </c>
      <c r="D40" s="21"/>
      <c r="E40" s="97"/>
      <c r="F40" s="97"/>
      <c r="G40" s="97"/>
      <c r="H40" s="97"/>
      <c r="I40" s="501"/>
      <c r="J40" s="502"/>
      <c r="K40" s="97"/>
      <c r="L40" s="97"/>
      <c r="M40" s="706"/>
      <c r="N40" s="97"/>
      <c r="O40" s="97"/>
      <c r="P40" s="97"/>
      <c r="Q40" s="704"/>
      <c r="R40" s="706"/>
      <c r="S40" s="706"/>
      <c r="T40" s="97"/>
      <c r="U40" s="97"/>
      <c r="V40" s="707"/>
      <c r="W40" s="708"/>
      <c r="X40" s="33"/>
      <c r="Y40" s="31"/>
      <c r="AA40" s="35"/>
      <c r="AB40" s="30">
        <f t="shared" si="60"/>
        <v>3</v>
      </c>
      <c r="AC40" s="30" t="s">
        <v>32</v>
      </c>
      <c r="AD40" s="575"/>
      <c r="AE40" s="576"/>
      <c r="AF40" s="577"/>
      <c r="AG40" s="576"/>
      <c r="AH40" s="575"/>
      <c r="AI40" s="576"/>
      <c r="AJ40" s="576"/>
      <c r="AK40" s="576"/>
      <c r="AL40" s="578"/>
      <c r="AM40" s="576"/>
      <c r="AN40" s="576"/>
      <c r="AO40" s="576"/>
      <c r="AP40" s="576"/>
      <c r="AQ40" s="578"/>
      <c r="AR40" s="576"/>
      <c r="AS40" s="576"/>
      <c r="AT40" s="576"/>
      <c r="AU40" s="578"/>
      <c r="AV40" s="576"/>
      <c r="AW40" s="579"/>
      <c r="AX40" s="580"/>
      <c r="AY40" s="579"/>
      <c r="AZ40" s="576"/>
      <c r="BA40" s="581"/>
      <c r="BB40" s="578"/>
      <c r="BC40" s="589"/>
      <c r="BD40" s="474"/>
      <c r="BE40" s="95"/>
      <c r="BF40" s="36"/>
      <c r="BG40" s="36"/>
      <c r="BH40" s="95"/>
      <c r="BI40" s="4"/>
      <c r="BJ40" s="14"/>
      <c r="BK40" s="503">
        <f t="shared" si="24"/>
        <v>-4552010</v>
      </c>
      <c r="BL40" s="503">
        <f t="shared" si="25"/>
        <v>-3210651</v>
      </c>
      <c r="BM40" s="503">
        <f t="shared" si="26"/>
        <v>-737886.6</v>
      </c>
      <c r="BN40" s="503">
        <f t="shared" si="27"/>
        <v>4001977</v>
      </c>
      <c r="BO40" s="503">
        <f t="shared" si="28"/>
        <v>12256870</v>
      </c>
      <c r="BP40" s="503">
        <f t="shared" si="29"/>
        <v>9095248</v>
      </c>
      <c r="BQ40" s="503">
        <f t="shared" si="30"/>
        <v>3124600</v>
      </c>
      <c r="BR40" s="503">
        <f t="shared" si="31"/>
        <v>34168761.890000001</v>
      </c>
      <c r="BS40" s="503">
        <f t="shared" si="32"/>
        <v>5190570</v>
      </c>
      <c r="BT40" s="503">
        <f t="shared" si="33"/>
        <v>2078600.0000000002</v>
      </c>
      <c r="BU40" s="503">
        <f t="shared" si="34"/>
        <v>4123700</v>
      </c>
      <c r="BV40" s="503">
        <f t="shared" si="35"/>
        <v>5708324</v>
      </c>
      <c r="BW40" s="503">
        <f t="shared" si="36"/>
        <v>13077490</v>
      </c>
      <c r="BX40" s="503">
        <f t="shared" si="37"/>
        <v>333607.90000000002</v>
      </c>
      <c r="BY40" s="503">
        <f t="shared" si="38"/>
        <v>-1066190</v>
      </c>
      <c r="BZ40" s="503">
        <f t="shared" si="39"/>
        <v>-29233300</v>
      </c>
      <c r="CA40" s="503">
        <f t="shared" si="40"/>
        <v>1496647</v>
      </c>
      <c r="CB40" s="96"/>
      <c r="CC40" s="1"/>
      <c r="CD40" s="1"/>
      <c r="CE40" s="1"/>
      <c r="CF40" s="1"/>
      <c r="CG40" s="1"/>
      <c r="CH40" s="1"/>
    </row>
    <row r="41" spans="1:86" ht="27" customHeight="1" thickBot="1" x14ac:dyDescent="0.4">
      <c r="A41" s="1"/>
      <c r="B41" s="29">
        <v>4</v>
      </c>
      <c r="C41" s="30" t="s">
        <v>32</v>
      </c>
      <c r="D41" s="21"/>
      <c r="E41" s="97"/>
      <c r="F41" s="97"/>
      <c r="G41" s="97"/>
      <c r="H41" s="704"/>
      <c r="I41" s="705"/>
      <c r="J41" s="706"/>
      <c r="K41" s="97"/>
      <c r="L41" s="97"/>
      <c r="M41" s="706"/>
      <c r="N41" s="97"/>
      <c r="O41" s="97"/>
      <c r="P41" s="97"/>
      <c r="Q41" s="97"/>
      <c r="R41" s="502"/>
      <c r="S41" s="502"/>
      <c r="T41" s="97"/>
      <c r="U41" s="704"/>
      <c r="V41" s="707"/>
      <c r="W41" s="708"/>
      <c r="X41" s="495"/>
      <c r="Y41" s="496"/>
      <c r="Z41" s="21"/>
      <c r="AA41" s="35"/>
      <c r="AB41" s="30">
        <f t="shared" si="60"/>
        <v>4</v>
      </c>
      <c r="AC41" s="30"/>
      <c r="AD41" s="575"/>
      <c r="AE41" s="572">
        <v>52.8</v>
      </c>
      <c r="AF41" s="577"/>
      <c r="AG41" s="572">
        <v>168.6</v>
      </c>
      <c r="AH41" s="575"/>
      <c r="AI41" s="572">
        <v>162.19999999999999</v>
      </c>
      <c r="AJ41" s="576"/>
      <c r="AK41" s="576"/>
      <c r="AL41" s="578"/>
      <c r="AM41" s="576"/>
      <c r="AN41" s="576"/>
      <c r="AO41" s="576"/>
      <c r="AP41" s="576"/>
      <c r="AQ41" s="576"/>
      <c r="AR41" s="576"/>
      <c r="AS41" s="576"/>
      <c r="AT41" s="578"/>
      <c r="AU41" s="578"/>
      <c r="AV41" s="576"/>
      <c r="AW41" s="579"/>
      <c r="AX41" s="580"/>
      <c r="AY41" s="579"/>
      <c r="AZ41" s="576"/>
      <c r="BA41" s="581"/>
      <c r="BB41" s="578"/>
      <c r="BC41" s="589"/>
      <c r="BD41" s="33"/>
      <c r="BE41" s="95"/>
      <c r="BF41" s="36"/>
      <c r="BG41" s="36"/>
      <c r="BH41" s="95"/>
      <c r="BI41" s="4"/>
      <c r="BJ41" s="14"/>
      <c r="BK41" s="503">
        <f t="shared" si="24"/>
        <v>-4552010</v>
      </c>
      <c r="BL41" s="503">
        <f t="shared" si="25"/>
        <v>858874.93935359968</v>
      </c>
      <c r="BM41" s="503">
        <f t="shared" si="26"/>
        <v>-737886.6</v>
      </c>
      <c r="BN41" s="503">
        <f t="shared" si="27"/>
        <v>622718.56767999846</v>
      </c>
      <c r="BO41" s="503">
        <f t="shared" si="28"/>
        <v>12256870</v>
      </c>
      <c r="BP41" s="503">
        <f t="shared" si="29"/>
        <v>459878.60564800166</v>
      </c>
      <c r="BQ41" s="503">
        <f t="shared" si="30"/>
        <v>3124600</v>
      </c>
      <c r="BR41" s="503"/>
      <c r="BS41" s="503"/>
      <c r="BT41" s="503">
        <f t="shared" si="33"/>
        <v>2078600.0000000002</v>
      </c>
      <c r="BU41" s="503"/>
      <c r="BV41" s="503"/>
      <c r="BW41" s="503">
        <f t="shared" si="36"/>
        <v>13077490</v>
      </c>
      <c r="BX41" s="503"/>
      <c r="BY41" s="503"/>
      <c r="BZ41" s="503"/>
      <c r="CA41" s="503"/>
      <c r="CB41" s="96"/>
      <c r="CC41" s="96"/>
      <c r="CD41" s="33"/>
      <c r="CE41" s="96"/>
      <c r="CF41" s="33"/>
      <c r="CG41" s="96"/>
      <c r="CH41" s="33"/>
    </row>
    <row r="42" spans="1:86" ht="20.25" customHeight="1" x14ac:dyDescent="0.35">
      <c r="B42" s="167" t="s">
        <v>33</v>
      </c>
      <c r="C42" s="168"/>
      <c r="D42" s="169">
        <f>D30-D29</f>
        <v>0.18699999999999761</v>
      </c>
      <c r="E42" s="169">
        <f t="shared" ref="E42:W42" si="296">E30-E29</f>
        <v>4.1999999999998039E-2</v>
      </c>
      <c r="F42" s="169">
        <f t="shared" si="296"/>
        <v>3.700000000000081E-2</v>
      </c>
      <c r="G42" s="169">
        <f t="shared" si="296"/>
        <v>1.1000000000001009E-2</v>
      </c>
      <c r="H42" s="169">
        <f t="shared" si="296"/>
        <v>3.0000000000000249E-2</v>
      </c>
      <c r="I42" s="169">
        <f t="shared" si="296"/>
        <v>6.9999999999996732E-3</v>
      </c>
      <c r="J42" s="169">
        <f t="shared" si="296"/>
        <v>1.9999999999999574E-2</v>
      </c>
      <c r="K42" s="169">
        <f t="shared" si="296"/>
        <v>2.9000000000000803E-2</v>
      </c>
      <c r="L42" s="169">
        <f t="shared" si="296"/>
        <v>0</v>
      </c>
      <c r="M42" s="169">
        <f t="shared" si="296"/>
        <v>0</v>
      </c>
      <c r="N42" s="169">
        <f t="shared" si="296"/>
        <v>4.0000000000000036E-3</v>
      </c>
      <c r="O42" s="169">
        <f t="shared" si="296"/>
        <v>0</v>
      </c>
      <c r="P42" s="169">
        <f t="shared" si="296"/>
        <v>8.0000000000000071E-3</v>
      </c>
      <c r="Q42" s="169">
        <f t="shared" si="296"/>
        <v>2.0000000000000018E-3</v>
      </c>
      <c r="R42" s="169">
        <f t="shared" si="296"/>
        <v>0</v>
      </c>
      <c r="S42" s="169">
        <f t="shared" si="296"/>
        <v>0</v>
      </c>
      <c r="T42" s="169">
        <f t="shared" si="296"/>
        <v>0</v>
      </c>
      <c r="U42" s="169">
        <f t="shared" si="296"/>
        <v>0</v>
      </c>
      <c r="V42" s="169">
        <f t="shared" si="296"/>
        <v>0.37700000000000955</v>
      </c>
      <c r="W42" s="169">
        <f t="shared" si="296"/>
        <v>0.27700000000000102</v>
      </c>
      <c r="X42" s="40"/>
      <c r="Y42" s="34"/>
      <c r="AD42" s="586">
        <v>247.00129999999999</v>
      </c>
      <c r="AE42" s="585">
        <v>79.499300000000005</v>
      </c>
      <c r="AF42" s="587">
        <v>164.98929999999999</v>
      </c>
      <c r="AG42" s="586">
        <v>178.5</v>
      </c>
      <c r="AH42" s="586">
        <v>357</v>
      </c>
      <c r="AI42" s="586">
        <v>176.94</v>
      </c>
      <c r="AJ42" s="586">
        <v>86.572999999999993</v>
      </c>
      <c r="AK42" s="585">
        <v>436</v>
      </c>
      <c r="AL42" s="585">
        <f>$AL$3+16.253</f>
        <v>38.992999999999995</v>
      </c>
      <c r="AM42" s="585">
        <v>136.38800000000001</v>
      </c>
      <c r="AN42" s="585">
        <v>112.4</v>
      </c>
      <c r="AO42" s="585">
        <v>341.25</v>
      </c>
      <c r="AP42" s="585">
        <v>539.5</v>
      </c>
      <c r="AQ42" s="574">
        <v>88.49</v>
      </c>
      <c r="AR42" s="574">
        <v>99.79</v>
      </c>
      <c r="AS42" s="585">
        <v>571.09</v>
      </c>
      <c r="AT42" s="585">
        <v>139.6</v>
      </c>
      <c r="AV42" s="572">
        <v>414.10550000000001</v>
      </c>
      <c r="AW42" s="247">
        <f>(89.2*AV42^3-95201.89*AV42^2+33862030.87*AV42-4014033675.35)/1000000</f>
        <v>17.167740704760075</v>
      </c>
      <c r="AX42" s="167" t="s">
        <v>33</v>
      </c>
      <c r="AY42" s="169">
        <f>AY30-AY29</f>
        <v>0</v>
      </c>
      <c r="AZ42" s="169"/>
      <c r="BA42" s="169">
        <f>BA30-BA29</f>
        <v>0</v>
      </c>
      <c r="BB42" s="169"/>
      <c r="BC42" s="169">
        <f>BC30-BC29</f>
        <v>0</v>
      </c>
      <c r="BD42" s="38"/>
      <c r="BF42" s="288"/>
      <c r="BG42" s="38"/>
    </row>
    <row r="43" spans="1:86" ht="19.5" customHeight="1" x14ac:dyDescent="0.35">
      <c r="B43" s="93" t="s">
        <v>34</v>
      </c>
      <c r="C43" s="72"/>
      <c r="D43" s="710">
        <v>2.3E-2</v>
      </c>
      <c r="E43" s="541">
        <v>8.0000000000000002E-3</v>
      </c>
      <c r="F43" s="541">
        <v>1E-3</v>
      </c>
      <c r="G43" s="541">
        <v>0.01</v>
      </c>
      <c r="H43" s="541">
        <v>2E-3</v>
      </c>
      <c r="I43" s="541">
        <v>1E-3</v>
      </c>
      <c r="J43" s="542">
        <v>1.2E-2</v>
      </c>
      <c r="K43" s="542">
        <v>1E-3</v>
      </c>
      <c r="L43" s="541">
        <v>4.0000000000000001E-3</v>
      </c>
      <c r="M43" s="541"/>
      <c r="N43" s="541">
        <v>0</v>
      </c>
      <c r="O43" s="541">
        <v>1E-3</v>
      </c>
      <c r="P43" s="541">
        <v>0</v>
      </c>
      <c r="Q43" s="542">
        <v>0</v>
      </c>
      <c r="R43" s="542">
        <v>0</v>
      </c>
      <c r="S43" s="543">
        <v>0</v>
      </c>
      <c r="T43" s="543">
        <v>0</v>
      </c>
      <c r="U43" s="543">
        <v>0</v>
      </c>
      <c r="V43" s="547">
        <f>SUM(D43:U43)</f>
        <v>6.3000000000000014E-2</v>
      </c>
      <c r="W43" s="32"/>
      <c r="X43" s="42"/>
      <c r="Y43" s="34"/>
      <c r="AH43" s="37"/>
      <c r="AJ43" s="37"/>
      <c r="AK43" s="37"/>
      <c r="AR43" s="574">
        <v>100</v>
      </c>
      <c r="AV43" s="572">
        <v>369.28</v>
      </c>
      <c r="AW43" s="247">
        <f>(89.2*AV43^3-95201.89*AV43^2+33863020.87*AV43-4014393675.35)/1000000</f>
        <v>2.4258290147781373E-4</v>
      </c>
      <c r="AX43" s="93" t="s">
        <v>34</v>
      </c>
      <c r="AY43" s="543">
        <v>1E-3</v>
      </c>
      <c r="AZ43" s="511"/>
      <c r="BA43" s="543">
        <v>1E-3</v>
      </c>
      <c r="BB43" s="511"/>
      <c r="BC43" s="543">
        <v>0</v>
      </c>
      <c r="BD43" s="40"/>
      <c r="BF43" s="288"/>
      <c r="BG43" s="288"/>
    </row>
    <row r="44" spans="1:86" ht="22.5" customHeight="1" x14ac:dyDescent="0.35">
      <c r="B44" s="1" t="s">
        <v>35</v>
      </c>
      <c r="C44" s="1"/>
      <c r="D44" s="94">
        <f>+ROUND(D43+D42+D204,3)-0.1</f>
        <v>0.12</v>
      </c>
      <c r="E44" s="94">
        <f>+ROUND(E43+E42+E204,3)</f>
        <v>5.6000000000000001E-2</v>
      </c>
      <c r="F44" s="94">
        <f t="shared" ref="F44:K44" si="297">+ROUND(F43+F42+F204,3)</f>
        <v>4.1000000000000002E-2</v>
      </c>
      <c r="G44" s="94">
        <f t="shared" si="297"/>
        <v>2.3E-2</v>
      </c>
      <c r="H44" s="94">
        <f t="shared" si="297"/>
        <v>3.3000000000000002E-2</v>
      </c>
      <c r="I44" s="94">
        <f t="shared" si="297"/>
        <v>8.9999999999999993E-3</v>
      </c>
      <c r="J44" s="94">
        <f>+ROUND(J43+J42+J204,3)-0.013</f>
        <v>2.1000000000000005E-2</v>
      </c>
      <c r="K44" s="94">
        <f t="shared" si="297"/>
        <v>3.3000000000000002E-2</v>
      </c>
      <c r="L44" s="94">
        <f>+ROUND(L43+L42+L204,3)+0.1</f>
        <v>0.10400000000000001</v>
      </c>
      <c r="M44" s="94"/>
      <c r="N44" s="94">
        <f t="shared" ref="N44:U44" si="298">+ROUND(N43+N42+N204,3)</f>
        <v>5.0000000000000001E-3</v>
      </c>
      <c r="O44" s="94">
        <f t="shared" si="298"/>
        <v>1E-3</v>
      </c>
      <c r="P44" s="94">
        <f t="shared" si="298"/>
        <v>8.0000000000000002E-3</v>
      </c>
      <c r="Q44" s="94">
        <f t="shared" si="298"/>
        <v>2E-3</v>
      </c>
      <c r="R44" s="94">
        <f t="shared" si="298"/>
        <v>0</v>
      </c>
      <c r="S44" s="94">
        <f t="shared" si="298"/>
        <v>0</v>
      </c>
      <c r="T44" s="94">
        <f t="shared" si="298"/>
        <v>0</v>
      </c>
      <c r="U44" s="94">
        <f t="shared" si="298"/>
        <v>0</v>
      </c>
      <c r="V44" s="547">
        <f>SUM(D44:U44)</f>
        <v>0.45600000000000007</v>
      </c>
      <c r="W44" s="470" t="s">
        <v>71</v>
      </c>
      <c r="X44" s="471" t="s">
        <v>166</v>
      </c>
      <c r="Y44" s="34"/>
      <c r="AK44" s="37"/>
      <c r="AR44" s="98"/>
      <c r="AX44" s="1" t="s">
        <v>35</v>
      </c>
      <c r="AY44" s="94">
        <f>+ROUND(AY43+AY42+AY185,3)</f>
        <v>1E-3</v>
      </c>
      <c r="AZ44" s="512"/>
      <c r="BA44" s="94">
        <f>+ROUND(BA43+BA42+BA185,3)</f>
        <v>1E-3</v>
      </c>
      <c r="BB44" s="512"/>
      <c r="BC44" s="94">
        <f>+ROUND(BC43+BC42+BC185,3)</f>
        <v>0</v>
      </c>
      <c r="BD44" s="38"/>
      <c r="BF44" s="288"/>
      <c r="BG44" s="288"/>
    </row>
    <row r="45" spans="1:86" ht="18" x14ac:dyDescent="0.25">
      <c r="B45" s="89" t="s">
        <v>36</v>
      </c>
      <c r="C45" s="89"/>
      <c r="D45" s="91">
        <f>D44+D60</f>
        <v>4.96</v>
      </c>
      <c r="E45" s="91">
        <f t="shared" ref="E45:U45" si="299">E44+E60</f>
        <v>2.6100000000000003</v>
      </c>
      <c r="F45" s="91">
        <f t="shared" si="299"/>
        <v>1.278</v>
      </c>
      <c r="G45" s="91">
        <f t="shared" si="299"/>
        <v>0.92900000000000005</v>
      </c>
      <c r="H45" s="91">
        <f t="shared" si="299"/>
        <v>1.6680000000000001</v>
      </c>
      <c r="I45" s="91">
        <f t="shared" si="299"/>
        <v>0.55000000000000016</v>
      </c>
      <c r="J45" s="91">
        <f t="shared" si="299"/>
        <v>1.2529999999999997</v>
      </c>
      <c r="K45" s="91">
        <f t="shared" si="299"/>
        <v>2.5230000000000001</v>
      </c>
      <c r="L45" s="91">
        <f t="shared" si="299"/>
        <v>3.6310000000000002</v>
      </c>
      <c r="M45" s="91">
        <f t="shared" si="299"/>
        <v>0</v>
      </c>
      <c r="N45" s="91">
        <f t="shared" si="299"/>
        <v>0.26400000000000007</v>
      </c>
      <c r="O45" s="91">
        <f t="shared" si="299"/>
        <v>9.2000000000000012E-2</v>
      </c>
      <c r="P45" s="91">
        <f t="shared" si="299"/>
        <v>0.56300000000000006</v>
      </c>
      <c r="Q45" s="91">
        <f t="shared" si="299"/>
        <v>5.0000000000000001E-3</v>
      </c>
      <c r="R45" s="91">
        <f t="shared" si="299"/>
        <v>0</v>
      </c>
      <c r="S45" s="91">
        <f t="shared" si="299"/>
        <v>0</v>
      </c>
      <c r="T45" s="91">
        <f t="shared" si="299"/>
        <v>0</v>
      </c>
      <c r="U45" s="91">
        <f t="shared" si="299"/>
        <v>0</v>
      </c>
      <c r="V45" s="43">
        <f>SUM(D45:U45)</f>
        <v>20.325999999999997</v>
      </c>
      <c r="W45" s="444">
        <f>D45+H45+I45+J45+K45+L45+N45</f>
        <v>14.848999999999998</v>
      </c>
      <c r="X45" s="467">
        <f>E45+G45+O45</f>
        <v>3.6310000000000007</v>
      </c>
      <c r="Y45" s="40"/>
      <c r="Z45" s="452"/>
      <c r="AR45" s="98"/>
      <c r="AX45" s="289" t="s">
        <v>36</v>
      </c>
      <c r="AY45" s="91">
        <f>AY44+AY60</f>
        <v>0.15700000000000003</v>
      </c>
      <c r="AZ45" s="515"/>
      <c r="BA45" s="91">
        <f>BA44+BA60</f>
        <v>2.2000000000000006E-2</v>
      </c>
      <c r="BB45" s="289"/>
      <c r="BC45" s="91">
        <f>BC44+BC60-0</f>
        <v>0</v>
      </c>
      <c r="BD45" s="38"/>
      <c r="BF45" s="288"/>
      <c r="BG45" s="288"/>
    </row>
    <row r="46" spans="1:86" ht="18" x14ac:dyDescent="0.25">
      <c r="B46" s="1" t="s">
        <v>37</v>
      </c>
      <c r="C46" s="1"/>
      <c r="D46" s="38">
        <f>D45+D48+D49+D50+D51+D52+D53+D54+D55+D56+D57+D58+D59-0</f>
        <v>19.484999999999999</v>
      </c>
      <c r="E46" s="38">
        <f t="shared" ref="E46:U46" si="300">E45+E48+E49+E50+E51+E52+E53+E54+E55+E56+E57+E58+E59</f>
        <v>17.938000000000002</v>
      </c>
      <c r="F46" s="38">
        <f t="shared" si="300"/>
        <v>8.7920000000000016</v>
      </c>
      <c r="G46" s="38">
        <f t="shared" si="300"/>
        <v>8.32</v>
      </c>
      <c r="H46" s="38">
        <f t="shared" si="300"/>
        <v>3.319</v>
      </c>
      <c r="I46" s="38">
        <f t="shared" si="300"/>
        <v>1.5150000000000001</v>
      </c>
      <c r="J46" s="38">
        <f t="shared" si="300"/>
        <v>3.157</v>
      </c>
      <c r="K46" s="38">
        <f t="shared" si="300"/>
        <v>7.5129999999999999</v>
      </c>
      <c r="L46" s="38">
        <f t="shared" si="300"/>
        <v>17.135000000000002</v>
      </c>
      <c r="M46" s="38">
        <f t="shared" si="300"/>
        <v>0</v>
      </c>
      <c r="N46" s="38">
        <f t="shared" si="300"/>
        <v>1.3220000000000003</v>
      </c>
      <c r="O46" s="38">
        <f t="shared" si="300"/>
        <v>0.91800000000000015</v>
      </c>
      <c r="P46" s="38">
        <f t="shared" si="300"/>
        <v>1.6360000000000001</v>
      </c>
      <c r="Q46" s="38">
        <f t="shared" si="300"/>
        <v>1.4180000000000001</v>
      </c>
      <c r="R46" s="38">
        <f t="shared" si="300"/>
        <v>1.0010000000000001</v>
      </c>
      <c r="S46" s="38">
        <f t="shared" si="300"/>
        <v>0.78600000000000025</v>
      </c>
      <c r="T46" s="38">
        <f t="shared" si="300"/>
        <v>0.31100000000000005</v>
      </c>
      <c r="U46" s="38">
        <f t="shared" si="300"/>
        <v>0.24300000000000002</v>
      </c>
      <c r="V46" s="38">
        <f>SUM(D46:U46)</f>
        <v>94.80900000000004</v>
      </c>
      <c r="W46" s="468">
        <f>D46+H46+I46+J46+K46+L46+N46</f>
        <v>53.445999999999998</v>
      </c>
      <c r="X46" s="469">
        <f>E46+G46+O46</f>
        <v>27.176000000000002</v>
      </c>
      <c r="Y46" s="34"/>
      <c r="Z46" s="20"/>
      <c r="AR46" s="98"/>
      <c r="AX46" s="45" t="s">
        <v>37</v>
      </c>
      <c r="AY46" s="38">
        <f>AY45+AY48+AY49+AY50+AY51+AY52+AY53+AY54+AY55+AY56+AY57+AY58+AY59</f>
        <v>2.5890000000000004</v>
      </c>
      <c r="AZ46" s="513"/>
      <c r="BA46" s="38">
        <f>BA45+BA48+BA49+BA50+BA51+BA52+BA53+BA54+BA55+BA56+BA57+BA58+BA59</f>
        <v>1.0680000000000001</v>
      </c>
      <c r="BB46" s="514"/>
      <c r="BC46" s="38">
        <f>BC45+BC48+BC49+BC50+BC51+BC52+BC53+BC54+BC55+BC56+BC57+BC58+BC59</f>
        <v>2.6360000000000001</v>
      </c>
      <c r="BD46" s="288"/>
      <c r="BF46" s="288"/>
      <c r="BG46" s="288"/>
    </row>
    <row r="47" spans="1:86" ht="18" x14ac:dyDescent="0.25">
      <c r="B47" s="1"/>
      <c r="C47" s="1"/>
      <c r="D47" s="38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1"/>
      <c r="Y47" s="42" t="s">
        <v>0</v>
      </c>
      <c r="AR47" s="98"/>
    </row>
    <row r="48" spans="1:86" ht="18" x14ac:dyDescent="0.25">
      <c r="B48" s="45" t="s">
        <v>38</v>
      </c>
      <c r="C48" s="45"/>
      <c r="D48" s="40">
        <v>1.3999999999999999E-2</v>
      </c>
      <c r="E48" s="40">
        <v>2.7E-2</v>
      </c>
      <c r="F48" s="40">
        <v>7.0000000000000001E-3</v>
      </c>
      <c r="G48" s="40">
        <v>6.0000000000000001E-3</v>
      </c>
      <c r="H48" s="40">
        <v>7.0000000000000001E-3</v>
      </c>
      <c r="I48" s="40">
        <v>3.0000000000000001E-3</v>
      </c>
      <c r="J48" s="40">
        <v>8.9999999999999993E-3</v>
      </c>
      <c r="K48" s="40">
        <v>5.0000000000000001E-3</v>
      </c>
      <c r="L48" s="40">
        <v>5.0000000000000001E-3</v>
      </c>
      <c r="M48" s="40">
        <v>0</v>
      </c>
      <c r="N48" s="40">
        <v>5.0000000000000001E-3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5.0000000000000001E-3</v>
      </c>
      <c r="U48" s="40">
        <v>2E-3</v>
      </c>
      <c r="V48" s="506">
        <f>SUM(D48:U48)</f>
        <v>9.5000000000000001E-2</v>
      </c>
      <c r="W48" s="507">
        <f>D48+H48+I48+J48+K48+L48+N48</f>
        <v>4.7999999999999987E-2</v>
      </c>
      <c r="X48" s="40">
        <f>E48+G48+O48</f>
        <v>3.3000000000000002E-2</v>
      </c>
      <c r="Y48" s="40"/>
      <c r="AR48" s="98"/>
      <c r="AX48" s="45" t="s">
        <v>38</v>
      </c>
      <c r="AY48" s="40">
        <v>0</v>
      </c>
      <c r="BA48" s="40">
        <v>0</v>
      </c>
      <c r="BC48" s="40">
        <v>0</v>
      </c>
      <c r="BD48" s="45"/>
      <c r="BF48" s="45"/>
      <c r="BG48" s="45"/>
    </row>
    <row r="49" spans="2:59" ht="18" x14ac:dyDescent="0.25">
      <c r="B49" s="45" t="s">
        <v>39</v>
      </c>
      <c r="C49" s="45"/>
      <c r="D49" s="40">
        <v>9.0000000000000011E-3</v>
      </c>
      <c r="E49" s="40">
        <v>0.03</v>
      </c>
      <c r="F49" s="40">
        <v>1.3999999999999999E-2</v>
      </c>
      <c r="G49" s="40">
        <v>2.4E-2</v>
      </c>
      <c r="H49" s="40">
        <v>3.0000000000000001E-3</v>
      </c>
      <c r="I49" s="40">
        <v>1.7000000000000001E-2</v>
      </c>
      <c r="J49" s="40">
        <v>2.0000000000000018E-3</v>
      </c>
      <c r="K49" s="40">
        <v>6.0000000000000001E-3</v>
      </c>
      <c r="L49" s="40">
        <v>0.04</v>
      </c>
      <c r="M49" s="40">
        <v>0</v>
      </c>
      <c r="N49" s="40">
        <v>9.0000000000000011E-3</v>
      </c>
      <c r="O49" s="40">
        <v>1.2000000000000004E-2</v>
      </c>
      <c r="P49" s="40">
        <v>0</v>
      </c>
      <c r="Q49" s="40">
        <v>0</v>
      </c>
      <c r="R49" s="40">
        <v>0</v>
      </c>
      <c r="S49" s="40">
        <v>2E-3</v>
      </c>
      <c r="T49" s="40">
        <v>3.0000000000000006E-2</v>
      </c>
      <c r="U49" s="40">
        <v>2E-3</v>
      </c>
      <c r="V49" s="506">
        <f>SUM(D49:U49)</f>
        <v>0.20000000000000004</v>
      </c>
      <c r="W49" s="507">
        <f>D49+H49+I49+J49+K49+L49+N49</f>
        <v>8.6000000000000021E-2</v>
      </c>
      <c r="X49" s="40">
        <f>E49+G49+O49</f>
        <v>6.6000000000000003E-2</v>
      </c>
      <c r="Y49" s="40"/>
      <c r="AO49" s="596"/>
      <c r="AR49" s="98"/>
      <c r="AX49" s="45" t="s">
        <v>39</v>
      </c>
      <c r="AY49" s="40">
        <v>0</v>
      </c>
      <c r="BA49" s="40">
        <v>0</v>
      </c>
      <c r="BC49" s="40">
        <v>0</v>
      </c>
      <c r="BD49" s="45"/>
      <c r="BF49" s="45"/>
      <c r="BG49" s="45"/>
    </row>
    <row r="50" spans="2:59" ht="18" x14ac:dyDescent="0.25">
      <c r="B50" s="45" t="s">
        <v>40</v>
      </c>
      <c r="C50" s="45"/>
      <c r="D50" s="40">
        <v>0.25800000000000001</v>
      </c>
      <c r="E50" s="40">
        <v>0.26600000000000001</v>
      </c>
      <c r="F50" s="40">
        <v>0.14500000000000002</v>
      </c>
      <c r="G50" s="40">
        <v>5.8999999999999997E-2</v>
      </c>
      <c r="H50" s="40">
        <v>4.5999999999999999E-2</v>
      </c>
      <c r="I50" s="40">
        <v>3.1000000000000003E-2</v>
      </c>
      <c r="J50" s="40">
        <v>0.12000000000000001</v>
      </c>
      <c r="K50" s="40">
        <v>3.7000000000000005E-2</v>
      </c>
      <c r="L50" s="40">
        <v>0.29100000000000004</v>
      </c>
      <c r="M50" s="40">
        <v>0</v>
      </c>
      <c r="N50" s="40">
        <v>9.9000000000000005E-2</v>
      </c>
      <c r="O50" s="40">
        <v>0.23500000000000001</v>
      </c>
      <c r="P50" s="40">
        <v>3.0000000000000001E-3</v>
      </c>
      <c r="Q50" s="40">
        <v>4.8000000000000015E-2</v>
      </c>
      <c r="R50" s="40">
        <v>2.4E-2</v>
      </c>
      <c r="S50" s="40">
        <v>5.7999999999999996E-2</v>
      </c>
      <c r="T50" s="40">
        <v>0.15100000000000002</v>
      </c>
      <c r="U50" s="40">
        <v>3.2000000000000001E-2</v>
      </c>
      <c r="V50" s="506">
        <f>SUM(D50:U50)</f>
        <v>1.9030000000000002</v>
      </c>
      <c r="W50" s="507">
        <f>D50+H50+I50+J50+K50+L50+N50</f>
        <v>0.88200000000000001</v>
      </c>
      <c r="X50" s="40">
        <f>E50+G50+O50</f>
        <v>0.56000000000000005</v>
      </c>
      <c r="Y50" s="216" t="s">
        <v>180</v>
      </c>
      <c r="AR50" s="98"/>
      <c r="AX50" s="45" t="s">
        <v>40</v>
      </c>
      <c r="AY50" s="40">
        <v>0</v>
      </c>
      <c r="BA50" s="40">
        <v>0</v>
      </c>
      <c r="BC50" s="40">
        <v>0.34400000000000008</v>
      </c>
      <c r="BD50" s="34"/>
      <c r="BF50" s="34"/>
      <c r="BG50" s="34"/>
    </row>
    <row r="51" spans="2:59" ht="18" x14ac:dyDescent="0.25">
      <c r="B51" s="45" t="s">
        <v>41</v>
      </c>
      <c r="C51" s="45"/>
      <c r="D51" s="40">
        <v>2.3330000000000002</v>
      </c>
      <c r="E51" s="40">
        <v>2.548</v>
      </c>
      <c r="F51" s="40">
        <v>1.5420000000000003</v>
      </c>
      <c r="G51" s="40">
        <v>1.4000000000000004</v>
      </c>
      <c r="H51" s="40">
        <v>0.19100000000000006</v>
      </c>
      <c r="I51" s="40">
        <v>0.15500000000000003</v>
      </c>
      <c r="J51" s="40">
        <v>0.41700000000000009</v>
      </c>
      <c r="K51" s="40">
        <v>0.26500000000000001</v>
      </c>
      <c r="L51" s="40">
        <v>1.764</v>
      </c>
      <c r="M51" s="40">
        <v>0</v>
      </c>
      <c r="N51" s="40">
        <v>0.30700000000000005</v>
      </c>
      <c r="O51" s="40">
        <v>0.21400000000000002</v>
      </c>
      <c r="P51" s="40">
        <v>0.159</v>
      </c>
      <c r="Q51" s="40">
        <v>0.33100000000000007</v>
      </c>
      <c r="R51" s="40">
        <v>0.26600000000000001</v>
      </c>
      <c r="S51" s="40">
        <v>0.58900000000000019</v>
      </c>
      <c r="T51" s="40">
        <v>0.125</v>
      </c>
      <c r="U51" s="40">
        <v>6.4000000000000015E-2</v>
      </c>
      <c r="V51" s="506">
        <f t="shared" ref="V51:V58" si="301">SUM(D51:U51)</f>
        <v>12.670000000000002</v>
      </c>
      <c r="W51" s="507">
        <f t="shared" ref="W51:W58" si="302">D51+H51+I51+J51+K51+L51+N51</f>
        <v>5.4320000000000013</v>
      </c>
      <c r="X51" s="40">
        <f t="shared" ref="X51:X58" si="303">E51+G51+O51</f>
        <v>4.1620000000000008</v>
      </c>
      <c r="Y51" s="40">
        <f>F51+R51+S51+U51</f>
        <v>2.4610000000000003</v>
      </c>
      <c r="AR51" s="98"/>
      <c r="AX51" s="45" t="s">
        <v>41</v>
      </c>
      <c r="AY51" s="40">
        <v>0.44000000000000006</v>
      </c>
      <c r="BA51" s="40">
        <v>0.75500000000000012</v>
      </c>
      <c r="BC51" s="40">
        <v>0.92200000000000015</v>
      </c>
    </row>
    <row r="52" spans="2:59" ht="18" x14ac:dyDescent="0.25">
      <c r="B52" s="45" t="s">
        <v>42</v>
      </c>
      <c r="C52" s="45"/>
      <c r="D52" s="40">
        <v>4.8419999999999996</v>
      </c>
      <c r="E52" s="40">
        <v>5.3170000000000011</v>
      </c>
      <c r="F52" s="40">
        <v>2.2410000000000005</v>
      </c>
      <c r="G52" s="40">
        <v>2.4099999999999997</v>
      </c>
      <c r="H52" s="40">
        <v>0.41500000000000004</v>
      </c>
      <c r="I52" s="40">
        <v>0.222</v>
      </c>
      <c r="J52" s="40">
        <v>0.47500000000000009</v>
      </c>
      <c r="K52" s="40">
        <v>1.3430000000000004</v>
      </c>
      <c r="L52" s="40">
        <v>5.1390000000000002</v>
      </c>
      <c r="M52" s="40">
        <v>0</v>
      </c>
      <c r="N52" s="40">
        <v>0.21500000000000002</v>
      </c>
      <c r="O52" s="40">
        <v>0.16700000000000007</v>
      </c>
      <c r="P52" s="40">
        <v>0.29200000000000004</v>
      </c>
      <c r="Q52" s="40">
        <v>0.51</v>
      </c>
      <c r="R52" s="40">
        <v>0.42900000000000005</v>
      </c>
      <c r="S52" s="40">
        <v>0.13400000000000001</v>
      </c>
      <c r="T52" s="40">
        <v>0</v>
      </c>
      <c r="U52" s="40">
        <v>0.05</v>
      </c>
      <c r="V52" s="506">
        <f t="shared" si="301"/>
        <v>24.201000000000004</v>
      </c>
      <c r="W52" s="507">
        <f>D52+H52+I52+J52+K52+L52+N52</f>
        <v>12.651</v>
      </c>
      <c r="X52" s="40">
        <f t="shared" si="303"/>
        <v>7.8940000000000001</v>
      </c>
      <c r="Y52" s="40">
        <f>F52+R52+S52+U52</f>
        <v>2.8540000000000005</v>
      </c>
      <c r="AR52" s="98"/>
      <c r="AX52" s="45" t="s">
        <v>42</v>
      </c>
      <c r="AY52" s="40">
        <v>0.55900000000000005</v>
      </c>
      <c r="BA52" s="40">
        <v>0.26000000000000006</v>
      </c>
      <c r="BC52" s="40">
        <v>1.0510000000000002</v>
      </c>
    </row>
    <row r="53" spans="2:59" ht="18" x14ac:dyDescent="0.25">
      <c r="B53" s="45" t="s">
        <v>43</v>
      </c>
      <c r="C53" s="45"/>
      <c r="D53" s="40">
        <v>7.069</v>
      </c>
      <c r="E53" s="40">
        <v>7.14</v>
      </c>
      <c r="F53" s="40">
        <v>3.5650000000000004</v>
      </c>
      <c r="G53" s="40">
        <v>3.4920000000000004</v>
      </c>
      <c r="H53" s="40">
        <v>0.98899999999999999</v>
      </c>
      <c r="I53" s="40">
        <v>0.53700000000000003</v>
      </c>
      <c r="J53" s="40">
        <v>0.88100000000000012</v>
      </c>
      <c r="K53" s="40">
        <v>3.3339999999999996</v>
      </c>
      <c r="L53" s="40">
        <v>6.2649999999999997</v>
      </c>
      <c r="M53" s="40">
        <v>0</v>
      </c>
      <c r="N53" s="40">
        <v>0.42299999999999999</v>
      </c>
      <c r="O53" s="40">
        <v>0.19800000000000001</v>
      </c>
      <c r="P53" s="40">
        <v>0.61899999999999999</v>
      </c>
      <c r="Q53" s="40">
        <v>0.52400000000000002</v>
      </c>
      <c r="R53" s="40">
        <v>0.28200000000000003</v>
      </c>
      <c r="S53" s="40">
        <v>3.0000000000000001E-3</v>
      </c>
      <c r="T53" s="40">
        <v>0</v>
      </c>
      <c r="U53" s="40">
        <v>9.2999999999999999E-2</v>
      </c>
      <c r="V53" s="506">
        <f t="shared" si="301"/>
        <v>35.414000000000001</v>
      </c>
      <c r="W53" s="507">
        <f t="shared" si="302"/>
        <v>19.497999999999998</v>
      </c>
      <c r="X53" s="40">
        <f t="shared" si="303"/>
        <v>10.83</v>
      </c>
      <c r="Y53" s="42"/>
      <c r="AR53" s="98"/>
      <c r="AX53" s="45" t="s">
        <v>43</v>
      </c>
      <c r="AY53" s="40">
        <v>1.4330000000000001</v>
      </c>
      <c r="BA53" s="40">
        <v>3.100000000000001E-2</v>
      </c>
      <c r="BC53" s="40">
        <v>0.31900000000000001</v>
      </c>
    </row>
    <row r="54" spans="2:59" ht="18" x14ac:dyDescent="0.25">
      <c r="B54" s="45" t="s">
        <v>44</v>
      </c>
      <c r="C54" s="45"/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506">
        <f t="shared" si="301"/>
        <v>0</v>
      </c>
      <c r="W54" s="507">
        <f t="shared" si="302"/>
        <v>0</v>
      </c>
      <c r="X54" s="40">
        <f t="shared" si="303"/>
        <v>0</v>
      </c>
      <c r="Y54" s="42"/>
      <c r="AR54" s="98"/>
      <c r="AX54" s="45" t="s">
        <v>44</v>
      </c>
      <c r="AY54" s="40">
        <v>0</v>
      </c>
      <c r="BA54" s="40">
        <v>0</v>
      </c>
      <c r="BC54" s="40">
        <v>0</v>
      </c>
    </row>
    <row r="55" spans="2:59" ht="18" x14ac:dyDescent="0.25">
      <c r="B55" s="45" t="s">
        <v>45</v>
      </c>
      <c r="C55" s="45"/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506">
        <f t="shared" si="301"/>
        <v>0</v>
      </c>
      <c r="W55" s="507">
        <f t="shared" si="302"/>
        <v>0</v>
      </c>
      <c r="X55" s="40">
        <f t="shared" si="303"/>
        <v>0</v>
      </c>
      <c r="Y55" s="42"/>
      <c r="AR55" s="98"/>
      <c r="AX55" s="45" t="s">
        <v>45</v>
      </c>
      <c r="AY55" s="40">
        <v>0</v>
      </c>
      <c r="BA55" s="40">
        <v>0</v>
      </c>
      <c r="BC55" s="40">
        <v>0</v>
      </c>
    </row>
    <row r="56" spans="2:59" ht="18" x14ac:dyDescent="0.25">
      <c r="B56" s="45" t="s">
        <v>46</v>
      </c>
      <c r="C56" s="45"/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506">
        <f t="shared" si="301"/>
        <v>0</v>
      </c>
      <c r="W56" s="507">
        <f t="shared" si="302"/>
        <v>0</v>
      </c>
      <c r="X56" s="40">
        <f t="shared" si="303"/>
        <v>0</v>
      </c>
      <c r="Y56" s="42"/>
      <c r="AR56" s="98"/>
      <c r="AX56" s="45" t="s">
        <v>46</v>
      </c>
      <c r="AY56" s="40">
        <v>0</v>
      </c>
      <c r="BA56" s="40">
        <v>0</v>
      </c>
      <c r="BC56" s="40">
        <v>0</v>
      </c>
    </row>
    <row r="57" spans="2:59" ht="18" x14ac:dyDescent="0.25">
      <c r="B57" s="45" t="s">
        <v>65</v>
      </c>
      <c r="C57" s="45"/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506">
        <f t="shared" si="301"/>
        <v>0</v>
      </c>
      <c r="W57" s="507">
        <f t="shared" si="302"/>
        <v>0</v>
      </c>
      <c r="X57" s="40">
        <f t="shared" si="303"/>
        <v>0</v>
      </c>
      <c r="Y57" s="42"/>
      <c r="Z57" s="452">
        <f>SUM(W51:W56)</f>
        <v>37.581000000000003</v>
      </c>
      <c r="AR57" s="98"/>
      <c r="AX57" s="45" t="s">
        <v>65</v>
      </c>
      <c r="AY57" s="40">
        <v>-6.9388939039072284E-18</v>
      </c>
      <c r="BA57" s="40">
        <v>0</v>
      </c>
      <c r="BC57" s="40">
        <v>0</v>
      </c>
    </row>
    <row r="58" spans="2:59" ht="18" x14ac:dyDescent="0.25">
      <c r="B58" s="45" t="s">
        <v>79</v>
      </c>
      <c r="C58" s="45"/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506">
        <f t="shared" si="301"/>
        <v>0</v>
      </c>
      <c r="W58" s="507">
        <f t="shared" si="302"/>
        <v>0</v>
      </c>
      <c r="X58" s="40">
        <f t="shared" si="303"/>
        <v>0</v>
      </c>
      <c r="Y58" s="42"/>
      <c r="AR58" s="98"/>
      <c r="AX58" s="45" t="s">
        <v>79</v>
      </c>
      <c r="AY58" s="40">
        <v>0</v>
      </c>
      <c r="BA58" s="40">
        <v>0</v>
      </c>
      <c r="BC58" s="40">
        <v>0</v>
      </c>
    </row>
    <row r="59" spans="2:59" ht="18" x14ac:dyDescent="0.25">
      <c r="B59" s="45" t="s">
        <v>128</v>
      </c>
      <c r="C59" s="45"/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506">
        <f>SUM(D59:U59)</f>
        <v>0</v>
      </c>
      <c r="W59" s="507"/>
      <c r="X59" s="42"/>
      <c r="Y59" s="42"/>
      <c r="AR59" s="98"/>
      <c r="AX59" s="45" t="s">
        <v>128</v>
      </c>
      <c r="AY59" s="40">
        <v>0</v>
      </c>
      <c r="BA59" s="40">
        <v>0</v>
      </c>
      <c r="BC59" s="40">
        <v>0</v>
      </c>
    </row>
    <row r="60" spans="2:59" ht="18" x14ac:dyDescent="0.25">
      <c r="B60" s="90" t="s">
        <v>47</v>
      </c>
      <c r="C60" s="90"/>
      <c r="D60" s="91">
        <v>4.84</v>
      </c>
      <c r="E60" s="91">
        <v>2.5540000000000003</v>
      </c>
      <c r="F60" s="91">
        <v>1.2370000000000001</v>
      </c>
      <c r="G60" s="91">
        <v>0.90600000000000003</v>
      </c>
      <c r="H60" s="91">
        <v>1.6350000000000002</v>
      </c>
      <c r="I60" s="91">
        <v>0.54100000000000015</v>
      </c>
      <c r="J60" s="91">
        <v>1.2319999999999998</v>
      </c>
      <c r="K60" s="91">
        <v>2.4900000000000002</v>
      </c>
      <c r="L60" s="91">
        <v>3.5270000000000001</v>
      </c>
      <c r="M60" s="91">
        <v>0</v>
      </c>
      <c r="N60" s="91">
        <v>0.25900000000000006</v>
      </c>
      <c r="O60" s="91">
        <v>9.1000000000000011E-2</v>
      </c>
      <c r="P60" s="91">
        <v>0.55500000000000005</v>
      </c>
      <c r="Q60" s="91">
        <v>3.0000000000000001E-3</v>
      </c>
      <c r="R60" s="91">
        <v>0</v>
      </c>
      <c r="S60" s="91">
        <v>0</v>
      </c>
      <c r="T60" s="91">
        <v>0</v>
      </c>
      <c r="U60" s="91">
        <v>0</v>
      </c>
      <c r="V60" s="506">
        <f>SUM(D60:U60)</f>
        <v>19.87</v>
      </c>
      <c r="W60" s="573">
        <f>D60+H60+I60+J60+K60+L60+N60</f>
        <v>14.524000000000001</v>
      </c>
      <c r="X60" s="42"/>
      <c r="Y60" s="42"/>
      <c r="AR60" s="98"/>
      <c r="AX60" s="89" t="s">
        <v>47</v>
      </c>
      <c r="AY60" s="570">
        <v>0.15600000000000003</v>
      </c>
      <c r="AZ60" s="90"/>
      <c r="BA60" s="571">
        <v>2.1000000000000005E-2</v>
      </c>
      <c r="BB60" s="90"/>
      <c r="BC60" s="571">
        <v>0</v>
      </c>
    </row>
    <row r="61" spans="2:59" ht="23.25" x14ac:dyDescent="0.35">
      <c r="B61" s="569">
        <f>B30</f>
        <v>23</v>
      </c>
      <c r="C61" s="568"/>
      <c r="D61" s="568">
        <f>D30</f>
        <v>41.866999999999997</v>
      </c>
      <c r="E61" s="568">
        <f t="shared" ref="E61:W61" si="304">E30</f>
        <v>20.376999999999999</v>
      </c>
      <c r="F61" s="568">
        <f t="shared" si="304"/>
        <v>10.887</v>
      </c>
      <c r="G61" s="568">
        <f t="shared" si="304"/>
        <v>8.3550000000000004</v>
      </c>
      <c r="H61" s="568">
        <f t="shared" si="304"/>
        <v>3.5720000000000001</v>
      </c>
      <c r="I61" s="568">
        <f t="shared" si="304"/>
        <v>2.4449999999999998</v>
      </c>
      <c r="J61" s="568">
        <f t="shared" si="304"/>
        <v>5.7640000000000002</v>
      </c>
      <c r="K61" s="568">
        <f t="shared" si="304"/>
        <v>7.1320000000000006</v>
      </c>
      <c r="L61" s="568">
        <f t="shared" si="304"/>
        <v>1.5169999999999999</v>
      </c>
      <c r="M61" s="568">
        <f t="shared" si="304"/>
        <v>0.14899999999999999</v>
      </c>
      <c r="N61" s="568">
        <f t="shared" si="304"/>
        <v>1.9480000000000002</v>
      </c>
      <c r="O61" s="568">
        <f t="shared" si="304"/>
        <v>1.974</v>
      </c>
      <c r="P61" s="568">
        <f t="shared" si="304"/>
        <v>1.637</v>
      </c>
      <c r="Q61" s="568">
        <f t="shared" si="304"/>
        <v>1.43</v>
      </c>
      <c r="R61" s="568">
        <f t="shared" si="304"/>
        <v>0.99</v>
      </c>
      <c r="S61" s="568">
        <f t="shared" si="304"/>
        <v>0.86</v>
      </c>
      <c r="T61" s="568">
        <f t="shared" si="304"/>
        <v>0.36299999999999999</v>
      </c>
      <c r="U61" s="568">
        <f t="shared" si="304"/>
        <v>0.29799999999999999</v>
      </c>
      <c r="V61" s="568">
        <f t="shared" si="304"/>
        <v>111.565</v>
      </c>
      <c r="W61" s="568">
        <f t="shared" si="304"/>
        <v>64.394000000000005</v>
      </c>
      <c r="X61" s="42">
        <v>94.09399999999998</v>
      </c>
      <c r="Y61" s="42">
        <v>43.463000000000001</v>
      </c>
      <c r="AR61" s="98"/>
      <c r="AY61" s="568">
        <f>AY30</f>
        <v>2.8</v>
      </c>
      <c r="AZ61" s="568"/>
      <c r="BA61" s="568">
        <f>BA30</f>
        <v>2</v>
      </c>
      <c r="BB61" s="568"/>
      <c r="BC61" s="568">
        <f>BC30</f>
        <v>4.4541319775000217</v>
      </c>
    </row>
    <row r="62" spans="2:59" ht="18" x14ac:dyDescent="0.25">
      <c r="B62" s="45"/>
      <c r="C62" s="4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4"/>
      <c r="W62" s="40"/>
      <c r="X62" s="42"/>
      <c r="Y62" s="42"/>
      <c r="AR62" s="98"/>
      <c r="AY62" s="1"/>
      <c r="AZ62" s="1"/>
      <c r="BA62" s="1"/>
      <c r="BB62" s="1"/>
      <c r="BC62" s="1"/>
    </row>
    <row r="63" spans="2:59" ht="18" x14ac:dyDescent="0.25">
      <c r="B63" s="99"/>
      <c r="C63" s="45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231"/>
      <c r="Y63" s="42"/>
      <c r="AR63" s="98"/>
      <c r="AY63" s="1"/>
      <c r="BC63" s="13"/>
    </row>
    <row r="64" spans="2:59" ht="18" x14ac:dyDescent="0.25">
      <c r="D64" s="452"/>
      <c r="E64" s="452"/>
      <c r="H64" s="452"/>
      <c r="I64" s="452"/>
      <c r="J64" s="452"/>
      <c r="K64" s="452"/>
      <c r="L64" s="452"/>
      <c r="M64" s="40"/>
      <c r="N64" s="452"/>
      <c r="O64" s="40"/>
      <c r="P64" s="40"/>
      <c r="Q64" s="38"/>
      <c r="R64" s="38"/>
      <c r="S64" s="38"/>
      <c r="T64" s="38"/>
      <c r="U64" s="38"/>
      <c r="V64" s="38"/>
      <c r="W64" s="216"/>
      <c r="AR64" s="98"/>
      <c r="AY64" s="13"/>
      <c r="BA64" s="13"/>
      <c r="BC64" s="13"/>
    </row>
    <row r="65" spans="2:55" ht="18" x14ac:dyDescent="0.25">
      <c r="B65" s="45" t="s">
        <v>124</v>
      </c>
      <c r="C65" s="1"/>
      <c r="D65" s="1"/>
      <c r="E65" s="450" t="str">
        <f>M2</f>
        <v>APR 2026</v>
      </c>
      <c r="F65" s="1"/>
      <c r="G65" s="4"/>
      <c r="H65" s="460" t="s">
        <v>182</v>
      </c>
      <c r="J65" s="40"/>
      <c r="K65" s="40"/>
      <c r="L65" s="40"/>
      <c r="M65" s="40"/>
      <c r="N65" s="449" t="s">
        <v>177</v>
      </c>
      <c r="O65" s="460" t="s">
        <v>182</v>
      </c>
      <c r="P65" s="40"/>
      <c r="Q65" s="44"/>
      <c r="S65" s="44" t="s">
        <v>2</v>
      </c>
      <c r="T65" s="44" t="s">
        <v>122</v>
      </c>
      <c r="V65" s="44"/>
      <c r="W65" s="46"/>
      <c r="Y65" s="42"/>
      <c r="AR65" s="98"/>
      <c r="AY65" s="1"/>
      <c r="BA65" s="13"/>
      <c r="BC65" s="13"/>
    </row>
    <row r="66" spans="2:55" ht="15.75" x14ac:dyDescent="0.25">
      <c r="B66" s="7" t="s">
        <v>24</v>
      </c>
      <c r="C66" s="8" t="s">
        <v>4</v>
      </c>
      <c r="D66" s="9" t="s">
        <v>5</v>
      </c>
      <c r="E66" s="8" t="s">
        <v>6</v>
      </c>
      <c r="F66" s="49" t="s">
        <v>7</v>
      </c>
      <c r="G66" s="10" t="s">
        <v>130</v>
      </c>
      <c r="H66" s="10" t="s">
        <v>8</v>
      </c>
      <c r="I66" s="9" t="s">
        <v>9</v>
      </c>
      <c r="J66" s="8" t="s">
        <v>10</v>
      </c>
      <c r="K66" s="11" t="s">
        <v>11</v>
      </c>
      <c r="L66" s="8" t="s">
        <v>66</v>
      </c>
      <c r="M66" s="8" t="s">
        <v>12</v>
      </c>
      <c r="N66" s="9" t="s">
        <v>13</v>
      </c>
      <c r="O66" s="8" t="s">
        <v>14</v>
      </c>
      <c r="P66" s="9" t="s">
        <v>15</v>
      </c>
      <c r="Q66" s="9" t="s">
        <v>16</v>
      </c>
      <c r="R66" s="8" t="s">
        <v>17</v>
      </c>
      <c r="S66" s="9" t="s">
        <v>18</v>
      </c>
      <c r="T66" s="8" t="s">
        <v>19</v>
      </c>
      <c r="U66" s="10" t="s">
        <v>20</v>
      </c>
      <c r="V66" s="11" t="s">
        <v>21</v>
      </c>
      <c r="W66" s="240" t="s">
        <v>70</v>
      </c>
      <c r="X66" s="8" t="s">
        <v>185</v>
      </c>
      <c r="Y66" s="777" t="s">
        <v>194</v>
      </c>
      <c r="Z66" s="8" t="s">
        <v>179</v>
      </c>
      <c r="AA66" s="8" t="s">
        <v>60</v>
      </c>
      <c r="AR66" s="98"/>
      <c r="AY66" s="1"/>
      <c r="BA66" s="13"/>
      <c r="BC66" s="13"/>
    </row>
    <row r="67" spans="2:55" ht="18" customHeight="1" x14ac:dyDescent="0.25">
      <c r="B67" s="25"/>
      <c r="C67" s="50" t="s">
        <v>49</v>
      </c>
      <c r="D67" s="51">
        <v>115</v>
      </c>
      <c r="E67" s="52">
        <v>52.375</v>
      </c>
      <c r="F67" s="51">
        <v>24</v>
      </c>
      <c r="G67" s="52">
        <v>17.167999999999999</v>
      </c>
      <c r="H67" s="52">
        <v>17.100000000000001</v>
      </c>
      <c r="I67" s="51">
        <v>13.8</v>
      </c>
      <c r="J67" s="52">
        <v>13.7</v>
      </c>
      <c r="K67" s="53">
        <v>13.5</v>
      </c>
      <c r="L67" s="52">
        <v>4.3</v>
      </c>
      <c r="M67" s="52">
        <v>6.8</v>
      </c>
      <c r="N67" s="51">
        <v>3.4</v>
      </c>
      <c r="O67" s="52">
        <v>2.1800000000000002</v>
      </c>
      <c r="P67" s="51">
        <v>1.69</v>
      </c>
      <c r="Q67" s="51">
        <v>1.22</v>
      </c>
      <c r="R67" s="52">
        <v>0.99</v>
      </c>
      <c r="S67" s="51">
        <v>0.86</v>
      </c>
      <c r="T67" s="52">
        <v>0.36299999999999999</v>
      </c>
      <c r="U67" s="52">
        <v>0.29799999999999999</v>
      </c>
      <c r="V67" s="18" t="s">
        <v>50</v>
      </c>
      <c r="W67" s="241" t="s">
        <v>59</v>
      </c>
      <c r="X67" s="52" t="s">
        <v>186</v>
      </c>
      <c r="Y67" s="778"/>
      <c r="Z67" s="52" t="s">
        <v>178</v>
      </c>
      <c r="AA67" s="52" t="s">
        <v>181</v>
      </c>
      <c r="AR67" s="98"/>
      <c r="AY67" s="1"/>
      <c r="AZ67" s="13"/>
      <c r="BA67" s="13"/>
      <c r="BC67" s="13"/>
    </row>
    <row r="68" spans="2:55" ht="24" customHeight="1" x14ac:dyDescent="0.3">
      <c r="B68" s="56">
        <v>1</v>
      </c>
      <c r="C68" s="172"/>
      <c r="D68" s="234">
        <v>1.2999999999999999E-2</v>
      </c>
      <c r="E68" s="593">
        <v>1.0999999999999999E-2</v>
      </c>
      <c r="F68" s="593">
        <v>1E-3</v>
      </c>
      <c r="G68" s="593">
        <v>8.9999999999999993E-3</v>
      </c>
      <c r="H68" s="593">
        <v>2E-3</v>
      </c>
      <c r="I68" s="593">
        <v>1E-3</v>
      </c>
      <c r="J68" s="94">
        <v>1.2E-2</v>
      </c>
      <c r="K68" s="94">
        <v>1E-3</v>
      </c>
      <c r="L68" s="593">
        <v>4.0000000000000001E-3</v>
      </c>
      <c r="M68" s="593"/>
      <c r="N68" s="593">
        <v>0</v>
      </c>
      <c r="O68" s="593">
        <v>0</v>
      </c>
      <c r="P68" s="593">
        <v>0</v>
      </c>
      <c r="Q68" s="94">
        <v>0</v>
      </c>
      <c r="R68" s="94">
        <v>0</v>
      </c>
      <c r="S68" s="594">
        <v>0</v>
      </c>
      <c r="T68" s="594">
        <v>0</v>
      </c>
      <c r="U68" s="594">
        <v>0</v>
      </c>
      <c r="V68" s="54">
        <f t="shared" ref="V68:V82" si="305">SUM(D68:U68)</f>
        <v>5.4000000000000006E-2</v>
      </c>
      <c r="W68" s="566">
        <v>0.14000000000000001</v>
      </c>
      <c r="X68" s="94"/>
      <c r="Y68" s="94">
        <v>0.14000000000000001</v>
      </c>
      <c r="Z68" s="451"/>
      <c r="AA68" s="451"/>
      <c r="AR68" s="98"/>
      <c r="AY68" s="1"/>
      <c r="AZ68" s="13"/>
      <c r="BA68" s="13"/>
      <c r="BC68" s="13"/>
    </row>
    <row r="69" spans="2:55" ht="24" customHeight="1" x14ac:dyDescent="0.3">
      <c r="B69" s="56">
        <v>2</v>
      </c>
      <c r="C69" s="172"/>
      <c r="D69" s="234">
        <v>2.5000000000000001E-2</v>
      </c>
      <c r="E69" s="593">
        <v>7.0000000000000001E-3</v>
      </c>
      <c r="F69" s="593">
        <v>1E-3</v>
      </c>
      <c r="G69" s="593">
        <v>8.9999999999999993E-3</v>
      </c>
      <c r="H69" s="593">
        <v>2E-3</v>
      </c>
      <c r="I69" s="593">
        <v>1E-3</v>
      </c>
      <c r="J69" s="94">
        <v>1.2E-2</v>
      </c>
      <c r="K69" s="94">
        <v>1E-3</v>
      </c>
      <c r="L69" s="593">
        <v>4.0000000000000001E-3</v>
      </c>
      <c r="M69" s="593"/>
      <c r="N69" s="593">
        <v>0</v>
      </c>
      <c r="O69" s="593">
        <v>0</v>
      </c>
      <c r="P69" s="593">
        <v>0</v>
      </c>
      <c r="Q69" s="94">
        <v>0</v>
      </c>
      <c r="R69" s="94">
        <v>0</v>
      </c>
      <c r="S69" s="594">
        <v>0</v>
      </c>
      <c r="T69" s="594">
        <v>0</v>
      </c>
      <c r="U69" s="594">
        <v>0</v>
      </c>
      <c r="V69" s="54">
        <f t="shared" si="305"/>
        <v>6.2000000000000013E-2</v>
      </c>
      <c r="W69" s="566">
        <v>0.14000000000000001</v>
      </c>
      <c r="X69" s="94"/>
      <c r="Y69" s="94">
        <v>0.14000000000000001</v>
      </c>
      <c r="Z69" s="451"/>
      <c r="AA69" s="451"/>
      <c r="AR69" s="98"/>
      <c r="AY69" s="1"/>
      <c r="AZ69" s="13"/>
      <c r="BA69" s="13"/>
      <c r="BC69" s="13"/>
    </row>
    <row r="70" spans="2:55" ht="24" customHeight="1" x14ac:dyDescent="0.3">
      <c r="B70" s="56">
        <v>3</v>
      </c>
      <c r="C70" s="172"/>
      <c r="D70" s="234"/>
      <c r="E70" s="593"/>
      <c r="F70" s="593"/>
      <c r="G70" s="593"/>
      <c r="H70" s="593"/>
      <c r="I70" s="593"/>
      <c r="J70" s="94"/>
      <c r="K70" s="94"/>
      <c r="L70" s="593"/>
      <c r="M70" s="593"/>
      <c r="N70" s="593"/>
      <c r="O70" s="593"/>
      <c r="P70" s="593"/>
      <c r="Q70" s="94"/>
      <c r="R70" s="94"/>
      <c r="S70" s="594"/>
      <c r="T70" s="594"/>
      <c r="U70" s="594"/>
      <c r="V70" s="54">
        <f t="shared" si="305"/>
        <v>0</v>
      </c>
      <c r="W70" s="566">
        <v>0.14000000000000001</v>
      </c>
      <c r="X70" s="94"/>
      <c r="Y70" s="94">
        <v>0.14000000000000001</v>
      </c>
      <c r="Z70" s="451"/>
      <c r="AA70" s="94"/>
      <c r="AR70" s="98"/>
      <c r="AY70" s="1"/>
      <c r="AZ70" s="13"/>
      <c r="BA70" s="13"/>
      <c r="BC70" s="13"/>
    </row>
    <row r="71" spans="2:55" ht="24" customHeight="1" x14ac:dyDescent="0.3">
      <c r="B71" s="56">
        <v>4</v>
      </c>
      <c r="C71" s="172"/>
      <c r="D71" s="234"/>
      <c r="E71" s="593"/>
      <c r="F71" s="593"/>
      <c r="G71" s="593"/>
      <c r="H71" s="593"/>
      <c r="I71" s="593"/>
      <c r="J71" s="94"/>
      <c r="K71" s="94"/>
      <c r="L71" s="593"/>
      <c r="M71" s="593"/>
      <c r="N71" s="593"/>
      <c r="O71" s="593"/>
      <c r="P71" s="593"/>
      <c r="Q71" s="94"/>
      <c r="R71" s="94"/>
      <c r="S71" s="594"/>
      <c r="T71" s="594"/>
      <c r="U71" s="594"/>
      <c r="V71" s="54">
        <f t="shared" si="305"/>
        <v>0</v>
      </c>
      <c r="W71" s="566">
        <v>0.14000000000000001</v>
      </c>
      <c r="X71" s="94"/>
      <c r="Y71" s="94">
        <v>0.14000000000000001</v>
      </c>
      <c r="Z71" s="451"/>
      <c r="AA71" s="451"/>
      <c r="AR71" s="98"/>
      <c r="AY71" s="1"/>
      <c r="AZ71" s="13"/>
      <c r="BA71" s="13"/>
      <c r="BC71" s="13"/>
    </row>
    <row r="72" spans="2:55" ht="24" customHeight="1" x14ac:dyDescent="0.3">
      <c r="B72" s="56">
        <v>5</v>
      </c>
      <c r="C72" s="172"/>
      <c r="D72" s="234">
        <v>7.8E-2</v>
      </c>
      <c r="E72" s="593">
        <v>1.2999999999999999E-2</v>
      </c>
      <c r="F72" s="593">
        <v>3.0000000000000001E-3</v>
      </c>
      <c r="G72" s="593">
        <v>2.8000000000000001E-2</v>
      </c>
      <c r="H72" s="593">
        <v>5.0000000000000001E-3</v>
      </c>
      <c r="I72" s="593">
        <v>2E-3</v>
      </c>
      <c r="J72" s="94">
        <v>3.5999999999999997E-2</v>
      </c>
      <c r="K72" s="94">
        <v>3.0000000000000001E-3</v>
      </c>
      <c r="L72" s="593">
        <v>1.2E-2</v>
      </c>
      <c r="M72" s="593"/>
      <c r="N72" s="593">
        <v>0</v>
      </c>
      <c r="O72" s="593">
        <v>0</v>
      </c>
      <c r="P72" s="593">
        <v>0</v>
      </c>
      <c r="Q72" s="94">
        <v>0</v>
      </c>
      <c r="R72" s="94">
        <v>0</v>
      </c>
      <c r="S72" s="594">
        <v>0</v>
      </c>
      <c r="T72" s="594">
        <v>0</v>
      </c>
      <c r="U72" s="594">
        <v>0</v>
      </c>
      <c r="V72" s="54">
        <f t="shared" si="305"/>
        <v>0.18000000000000002</v>
      </c>
      <c r="W72" s="566">
        <v>0.14000000000000001</v>
      </c>
      <c r="X72" s="94"/>
      <c r="Y72" s="94">
        <v>0.14000000000000001</v>
      </c>
      <c r="Z72" s="451"/>
      <c r="AA72" s="94"/>
      <c r="AR72" s="98"/>
      <c r="AY72" s="1"/>
      <c r="AZ72" s="13"/>
      <c r="BA72" s="13"/>
      <c r="BC72" s="13"/>
    </row>
    <row r="73" spans="2:55" ht="24" customHeight="1" x14ac:dyDescent="0.3">
      <c r="B73" s="56">
        <v>6</v>
      </c>
      <c r="C73" s="172"/>
      <c r="D73" s="234">
        <v>2.7E-2</v>
      </c>
      <c r="E73" s="593">
        <v>6.0000000000000001E-3</v>
      </c>
      <c r="F73" s="593">
        <v>1E-3</v>
      </c>
      <c r="G73" s="593">
        <v>8.9999999999999993E-3</v>
      </c>
      <c r="H73" s="593">
        <v>2E-3</v>
      </c>
      <c r="I73" s="593">
        <v>1E-3</v>
      </c>
      <c r="J73" s="94">
        <v>1.0999999999999999E-2</v>
      </c>
      <c r="K73" s="94">
        <v>1E-3</v>
      </c>
      <c r="L73" s="593">
        <v>4.0000000000000001E-3</v>
      </c>
      <c r="M73" s="593"/>
      <c r="N73" s="593">
        <v>0</v>
      </c>
      <c r="O73" s="593">
        <v>0</v>
      </c>
      <c r="P73" s="593">
        <v>0</v>
      </c>
      <c r="Q73" s="94">
        <v>0</v>
      </c>
      <c r="R73" s="94">
        <v>0</v>
      </c>
      <c r="S73" s="594">
        <v>0</v>
      </c>
      <c r="T73" s="594">
        <v>0</v>
      </c>
      <c r="U73" s="594">
        <v>0</v>
      </c>
      <c r="V73" s="54">
        <f t="shared" si="305"/>
        <v>6.2000000000000013E-2</v>
      </c>
      <c r="W73" s="566">
        <v>0.14000000000000001</v>
      </c>
      <c r="X73" s="94"/>
      <c r="Y73" s="94">
        <v>0.14000000000000001</v>
      </c>
      <c r="Z73" s="451"/>
      <c r="AA73" s="451"/>
      <c r="AR73" s="98"/>
      <c r="AY73" s="1"/>
      <c r="AZ73" s="13"/>
      <c r="BA73" s="13"/>
      <c r="BC73" s="13"/>
    </row>
    <row r="74" spans="2:55" ht="24" customHeight="1" x14ac:dyDescent="0.3">
      <c r="B74" s="56">
        <v>7</v>
      </c>
      <c r="C74" s="172"/>
      <c r="D74" s="234">
        <v>3.6999999999999998E-2</v>
      </c>
      <c r="E74" s="593">
        <v>8.0000000000000002E-3</v>
      </c>
      <c r="F74" s="593">
        <v>1E-3</v>
      </c>
      <c r="G74" s="593">
        <v>0.01</v>
      </c>
      <c r="H74" s="593">
        <v>2E-3</v>
      </c>
      <c r="I74" s="593">
        <v>1E-3</v>
      </c>
      <c r="J74" s="94">
        <v>1.0999999999999999E-2</v>
      </c>
      <c r="K74" s="94">
        <v>1E-3</v>
      </c>
      <c r="L74" s="593">
        <v>4.0000000000000001E-3</v>
      </c>
      <c r="M74" s="593"/>
      <c r="N74" s="593">
        <v>0</v>
      </c>
      <c r="O74" s="593">
        <v>0</v>
      </c>
      <c r="P74" s="593">
        <v>0</v>
      </c>
      <c r="Q74" s="94">
        <v>0</v>
      </c>
      <c r="R74" s="94">
        <v>0</v>
      </c>
      <c r="S74" s="594">
        <v>0</v>
      </c>
      <c r="T74" s="594">
        <v>0</v>
      </c>
      <c r="U74" s="594">
        <v>0</v>
      </c>
      <c r="V74" s="54">
        <f t="shared" si="305"/>
        <v>7.5000000000000011E-2</v>
      </c>
      <c r="W74" s="566">
        <v>0.14000000000000001</v>
      </c>
      <c r="X74" s="94"/>
      <c r="Y74" s="94">
        <v>0.14000000000000001</v>
      </c>
      <c r="Z74" s="451"/>
      <c r="AA74" s="94"/>
      <c r="AR74" s="98"/>
      <c r="AY74" s="1"/>
      <c r="AZ74" s="13"/>
      <c r="BA74" s="13"/>
      <c r="BC74" s="13"/>
    </row>
    <row r="75" spans="2:55" ht="24" customHeight="1" x14ac:dyDescent="0.3">
      <c r="B75" s="56">
        <v>8</v>
      </c>
      <c r="C75" s="172"/>
      <c r="D75" s="234">
        <v>3.1E-2</v>
      </c>
      <c r="E75" s="593">
        <v>6.0000000000000001E-3</v>
      </c>
      <c r="F75" s="593">
        <v>1E-3</v>
      </c>
      <c r="G75" s="593">
        <v>8.9999999999999993E-3</v>
      </c>
      <c r="H75" s="593">
        <v>2E-3</v>
      </c>
      <c r="I75" s="593">
        <v>1E-3</v>
      </c>
      <c r="J75" s="94">
        <v>1.4E-2</v>
      </c>
      <c r="K75" s="94">
        <v>1E-3</v>
      </c>
      <c r="L75" s="593">
        <v>4.0000000000000001E-3</v>
      </c>
      <c r="M75" s="593"/>
      <c r="N75" s="593">
        <v>0</v>
      </c>
      <c r="O75" s="593">
        <v>0</v>
      </c>
      <c r="P75" s="593">
        <v>0</v>
      </c>
      <c r="Q75" s="94">
        <v>0</v>
      </c>
      <c r="R75" s="94">
        <v>0</v>
      </c>
      <c r="S75" s="594">
        <v>0</v>
      </c>
      <c r="T75" s="594">
        <v>0</v>
      </c>
      <c r="U75" s="594">
        <v>0</v>
      </c>
      <c r="V75" s="54">
        <f t="shared" si="305"/>
        <v>6.9000000000000006E-2</v>
      </c>
      <c r="W75" s="566">
        <v>0.14000000000000001</v>
      </c>
      <c r="X75" s="94"/>
      <c r="Y75" s="94">
        <v>0.14000000000000001</v>
      </c>
      <c r="Z75" s="451"/>
      <c r="AA75" s="451"/>
      <c r="AR75" s="98"/>
      <c r="AY75" s="1"/>
      <c r="AZ75" s="13"/>
      <c r="BA75" s="13"/>
      <c r="BC75" s="13"/>
    </row>
    <row r="76" spans="2:55" ht="24" customHeight="1" x14ac:dyDescent="0.3">
      <c r="B76" s="56">
        <v>9</v>
      </c>
      <c r="C76" s="172"/>
      <c r="D76" s="234"/>
      <c r="E76" s="593"/>
      <c r="F76" s="593"/>
      <c r="G76" s="593"/>
      <c r="H76" s="593"/>
      <c r="I76" s="593"/>
      <c r="J76" s="94"/>
      <c r="K76" s="94"/>
      <c r="L76" s="593"/>
      <c r="M76" s="593"/>
      <c r="N76" s="593"/>
      <c r="O76" s="593"/>
      <c r="P76" s="593"/>
      <c r="Q76" s="94"/>
      <c r="R76" s="94"/>
      <c r="S76" s="594"/>
      <c r="T76" s="594"/>
      <c r="U76" s="594"/>
      <c r="V76" s="54">
        <f t="shared" si="305"/>
        <v>0</v>
      </c>
      <c r="W76" s="566">
        <v>0.14000000000000001</v>
      </c>
      <c r="X76" s="94"/>
      <c r="Y76" s="94">
        <v>0.14000000000000001</v>
      </c>
      <c r="Z76" s="451"/>
      <c r="AA76" s="451"/>
      <c r="AR76" s="98"/>
      <c r="AY76" s="1"/>
      <c r="AZ76" s="13"/>
      <c r="BA76" s="13"/>
      <c r="BC76" s="13"/>
    </row>
    <row r="77" spans="2:55" ht="24" customHeight="1" x14ac:dyDescent="0.3">
      <c r="B77" s="56">
        <v>10</v>
      </c>
      <c r="C77" s="172"/>
      <c r="D77" s="234"/>
      <c r="E77" s="593"/>
      <c r="F77" s="593"/>
      <c r="G77" s="593"/>
      <c r="H77" s="593"/>
      <c r="I77" s="593"/>
      <c r="J77" s="94"/>
      <c r="K77" s="94"/>
      <c r="L77" s="593"/>
      <c r="M77" s="593"/>
      <c r="N77" s="593"/>
      <c r="O77" s="593"/>
      <c r="P77" s="593"/>
      <c r="Q77" s="94"/>
      <c r="R77" s="94"/>
      <c r="S77" s="594"/>
      <c r="T77" s="594"/>
      <c r="U77" s="594"/>
      <c r="V77" s="54">
        <f t="shared" si="305"/>
        <v>0</v>
      </c>
      <c r="W77" s="566">
        <v>0.14000000000000001</v>
      </c>
      <c r="X77" s="94"/>
      <c r="Y77" s="94">
        <v>0.14000000000000001</v>
      </c>
      <c r="Z77" s="451"/>
      <c r="AA77" s="451"/>
      <c r="AR77" s="98"/>
      <c r="AY77" s="1"/>
      <c r="AZ77" s="13"/>
      <c r="BA77" s="13"/>
      <c r="BC77" s="13"/>
    </row>
    <row r="78" spans="2:55" ht="24" customHeight="1" x14ac:dyDescent="0.3">
      <c r="B78" s="56">
        <v>11</v>
      </c>
      <c r="C78" s="172"/>
      <c r="D78" s="234"/>
      <c r="E78" s="593"/>
      <c r="F78" s="593"/>
      <c r="G78" s="593"/>
      <c r="H78" s="593"/>
      <c r="I78" s="593"/>
      <c r="J78" s="94"/>
      <c r="K78" s="94"/>
      <c r="L78" s="593"/>
      <c r="M78" s="593"/>
      <c r="N78" s="593"/>
      <c r="O78" s="593"/>
      <c r="P78" s="593"/>
      <c r="Q78" s="94"/>
      <c r="R78" s="94"/>
      <c r="S78" s="594"/>
      <c r="T78" s="594"/>
      <c r="U78" s="594"/>
      <c r="V78" s="54">
        <f t="shared" si="305"/>
        <v>0</v>
      </c>
      <c r="W78" s="566">
        <v>0.14000000000000001</v>
      </c>
      <c r="X78" s="94"/>
      <c r="Y78" s="94">
        <v>0.14000000000000001</v>
      </c>
      <c r="Z78" s="94"/>
      <c r="AA78" s="451"/>
      <c r="AR78" s="98"/>
      <c r="AY78" s="1"/>
      <c r="AZ78" s="13"/>
      <c r="BA78" s="13"/>
      <c r="BC78" s="13"/>
    </row>
    <row r="79" spans="2:55" ht="24" customHeight="1" x14ac:dyDescent="0.3">
      <c r="B79" s="56">
        <v>12</v>
      </c>
      <c r="C79" s="172"/>
      <c r="D79" s="234"/>
      <c r="E79" s="593"/>
      <c r="F79" s="593"/>
      <c r="G79" s="593"/>
      <c r="H79" s="593"/>
      <c r="I79" s="593"/>
      <c r="J79" s="94"/>
      <c r="K79" s="94"/>
      <c r="L79" s="593"/>
      <c r="M79" s="593"/>
      <c r="N79" s="593"/>
      <c r="O79" s="593"/>
      <c r="P79" s="593"/>
      <c r="Q79" s="94"/>
      <c r="R79" s="94"/>
      <c r="S79" s="594"/>
      <c r="T79" s="594"/>
      <c r="U79" s="594"/>
      <c r="V79" s="54">
        <f t="shared" si="305"/>
        <v>0</v>
      </c>
      <c r="W79" s="566">
        <v>0.14000000000000001</v>
      </c>
      <c r="X79" s="94"/>
      <c r="Y79" s="94">
        <v>0.14000000000000001</v>
      </c>
      <c r="Z79" s="94"/>
      <c r="AA79" s="451"/>
      <c r="AR79" s="98"/>
      <c r="AY79" s="1"/>
      <c r="AZ79" s="13"/>
      <c r="BA79" s="13"/>
      <c r="BC79" s="13"/>
    </row>
    <row r="80" spans="2:55" ht="24" customHeight="1" x14ac:dyDescent="0.3">
      <c r="B80" s="56">
        <v>13</v>
      </c>
      <c r="C80" s="172"/>
      <c r="D80" s="234">
        <v>8.4000000000000005E-2</v>
      </c>
      <c r="E80" s="593">
        <v>2.5000000000000001E-2</v>
      </c>
      <c r="F80" s="593">
        <v>3.0000000000000001E-3</v>
      </c>
      <c r="G80" s="593">
        <v>4.9000000000000002E-2</v>
      </c>
      <c r="H80" s="593">
        <v>7.0000000000000001E-3</v>
      </c>
      <c r="I80" s="593">
        <v>3.0000000000000001E-3</v>
      </c>
      <c r="J80" s="94">
        <v>0.06</v>
      </c>
      <c r="K80" s="94">
        <v>5.0000000000000001E-3</v>
      </c>
      <c r="L80" s="593">
        <v>0.02</v>
      </c>
      <c r="M80" s="593"/>
      <c r="N80" s="593">
        <v>0</v>
      </c>
      <c r="O80" s="593">
        <v>0</v>
      </c>
      <c r="P80" s="593">
        <v>0</v>
      </c>
      <c r="Q80" s="94">
        <v>0</v>
      </c>
      <c r="R80" s="94">
        <v>0</v>
      </c>
      <c r="S80" s="594">
        <v>0</v>
      </c>
      <c r="T80" s="594">
        <v>0</v>
      </c>
      <c r="U80" s="594">
        <v>0</v>
      </c>
      <c r="V80" s="54">
        <f t="shared" si="305"/>
        <v>0.25600000000000006</v>
      </c>
      <c r="W80" s="566">
        <v>0.14000000000000001</v>
      </c>
      <c r="X80" s="94"/>
      <c r="Y80" s="94">
        <v>0.14000000000000001</v>
      </c>
      <c r="Z80" s="94"/>
      <c r="AA80" s="451"/>
      <c r="AR80" s="98"/>
      <c r="AY80" s="1"/>
      <c r="AZ80" s="13"/>
      <c r="BA80" s="13"/>
      <c r="BC80" s="13"/>
    </row>
    <row r="81" spans="2:55" ht="24" customHeight="1" x14ac:dyDescent="0.3">
      <c r="B81" s="56">
        <v>14</v>
      </c>
      <c r="C81" s="172"/>
      <c r="D81" s="234">
        <v>2.9000000000000001E-2</v>
      </c>
      <c r="E81" s="593">
        <v>6.0000000000000001E-3</v>
      </c>
      <c r="F81" s="593">
        <v>1E-3</v>
      </c>
      <c r="G81" s="593">
        <v>8.9999999999999993E-3</v>
      </c>
      <c r="H81" s="593">
        <v>2E-3</v>
      </c>
      <c r="I81" s="593">
        <v>1E-3</v>
      </c>
      <c r="J81" s="94">
        <v>1.0999999999999999E-2</v>
      </c>
      <c r="K81" s="94">
        <v>1E-3</v>
      </c>
      <c r="L81" s="593">
        <v>4.0000000000000001E-3</v>
      </c>
      <c r="M81" s="593"/>
      <c r="N81" s="593">
        <v>0</v>
      </c>
      <c r="O81" s="593">
        <v>0</v>
      </c>
      <c r="P81" s="593">
        <v>0</v>
      </c>
      <c r="Q81" s="94">
        <v>0</v>
      </c>
      <c r="R81" s="94">
        <v>0</v>
      </c>
      <c r="S81" s="594">
        <v>0</v>
      </c>
      <c r="T81" s="594">
        <v>0</v>
      </c>
      <c r="U81" s="594">
        <v>0</v>
      </c>
      <c r="V81" s="54">
        <f t="shared" si="305"/>
        <v>6.4000000000000015E-2</v>
      </c>
      <c r="W81" s="566">
        <v>0.14000000000000001</v>
      </c>
      <c r="X81" s="94"/>
      <c r="Y81" s="94">
        <v>0.14000000000000001</v>
      </c>
      <c r="Z81" s="94"/>
      <c r="AA81" s="451"/>
      <c r="AR81" s="98"/>
      <c r="AY81" s="1"/>
      <c r="AZ81" s="13"/>
      <c r="BA81" s="13"/>
      <c r="BC81" s="13"/>
    </row>
    <row r="82" spans="2:55" ht="24" customHeight="1" x14ac:dyDescent="0.3">
      <c r="B82" s="56">
        <v>15</v>
      </c>
      <c r="C82" s="172"/>
      <c r="D82" s="234">
        <v>0.04</v>
      </c>
      <c r="E82" s="593">
        <v>4.0000000000000001E-3</v>
      </c>
      <c r="F82" s="593">
        <v>1E-3</v>
      </c>
      <c r="G82" s="593">
        <v>8.9999999999999993E-3</v>
      </c>
      <c r="H82" s="593">
        <v>2E-3</v>
      </c>
      <c r="I82" s="593">
        <v>1E-3</v>
      </c>
      <c r="J82" s="94">
        <v>1.2999999999999999E-2</v>
      </c>
      <c r="K82" s="94">
        <v>1E-3</v>
      </c>
      <c r="L82" s="593">
        <v>4.0000000000000001E-3</v>
      </c>
      <c r="M82" s="593"/>
      <c r="N82" s="593">
        <v>0</v>
      </c>
      <c r="O82" s="593">
        <v>0</v>
      </c>
      <c r="P82" s="593">
        <v>0</v>
      </c>
      <c r="Q82" s="94">
        <v>0</v>
      </c>
      <c r="R82" s="94">
        <v>0</v>
      </c>
      <c r="S82" s="594">
        <v>0</v>
      </c>
      <c r="T82" s="594">
        <v>0</v>
      </c>
      <c r="U82" s="594">
        <v>0</v>
      </c>
      <c r="V82" s="54">
        <f t="shared" si="305"/>
        <v>7.5000000000000011E-2</v>
      </c>
      <c r="W82" s="566">
        <v>0.14000000000000001</v>
      </c>
      <c r="X82" s="94"/>
      <c r="Y82" s="94">
        <v>0.14000000000000001</v>
      </c>
      <c r="Z82" s="94"/>
      <c r="AA82" s="451"/>
      <c r="AR82" s="98"/>
      <c r="AY82" s="1"/>
      <c r="AZ82" s="13"/>
      <c r="BA82" s="13"/>
      <c r="BC82" s="13"/>
    </row>
    <row r="83" spans="2:55" ht="24" customHeight="1" x14ac:dyDescent="0.3">
      <c r="B83" s="56">
        <v>16</v>
      </c>
      <c r="C83" s="172"/>
      <c r="D83" s="234">
        <v>0.03</v>
      </c>
      <c r="E83" s="593">
        <v>5.0000000000000001E-3</v>
      </c>
      <c r="F83" s="593">
        <v>1E-3</v>
      </c>
      <c r="G83" s="593">
        <v>8.9999999999999993E-3</v>
      </c>
      <c r="H83" s="593">
        <v>2E-3</v>
      </c>
      <c r="I83" s="593">
        <v>1E-3</v>
      </c>
      <c r="J83" s="94">
        <v>1.4999999999999999E-2</v>
      </c>
      <c r="K83" s="94">
        <v>1E-3</v>
      </c>
      <c r="L83" s="593">
        <v>4.0000000000000001E-3</v>
      </c>
      <c r="M83" s="593"/>
      <c r="N83" s="593">
        <v>0</v>
      </c>
      <c r="O83" s="593">
        <v>0</v>
      </c>
      <c r="P83" s="593">
        <v>0</v>
      </c>
      <c r="Q83" s="94">
        <v>0</v>
      </c>
      <c r="R83" s="94">
        <v>0</v>
      </c>
      <c r="S83" s="594">
        <v>0</v>
      </c>
      <c r="T83" s="594">
        <v>0</v>
      </c>
      <c r="U83" s="594">
        <v>0</v>
      </c>
      <c r="V83" s="54">
        <f t="shared" ref="V83:V98" si="306">SUM(D83:U83)</f>
        <v>6.8000000000000005E-2</v>
      </c>
      <c r="W83" s="566">
        <v>0.14000000000000001</v>
      </c>
      <c r="X83" s="94"/>
      <c r="Y83" s="94">
        <v>0.14000000000000001</v>
      </c>
      <c r="Z83" s="94"/>
      <c r="AA83" s="451"/>
      <c r="AR83" s="98"/>
      <c r="AY83" s="1"/>
      <c r="AZ83" s="13"/>
      <c r="BA83" s="13"/>
      <c r="BC83" s="13"/>
    </row>
    <row r="84" spans="2:55" ht="24" customHeight="1" x14ac:dyDescent="0.3">
      <c r="B84" s="56">
        <v>17</v>
      </c>
      <c r="C84" s="172"/>
      <c r="D84" s="234"/>
      <c r="E84" s="593"/>
      <c r="F84" s="593"/>
      <c r="G84" s="593"/>
      <c r="H84" s="593"/>
      <c r="I84" s="593"/>
      <c r="J84" s="94"/>
      <c r="K84" s="94"/>
      <c r="L84" s="593"/>
      <c r="M84" s="593"/>
      <c r="N84" s="593"/>
      <c r="O84" s="593"/>
      <c r="P84" s="593"/>
      <c r="Q84" s="94"/>
      <c r="R84" s="94"/>
      <c r="S84" s="594"/>
      <c r="T84" s="594"/>
      <c r="U84" s="594"/>
      <c r="V84" s="54">
        <f t="shared" si="306"/>
        <v>0</v>
      </c>
      <c r="W84" s="566">
        <v>0.28000000000000003</v>
      </c>
      <c r="X84" s="94"/>
      <c r="Y84" s="94">
        <v>0.32</v>
      </c>
      <c r="Z84" s="94"/>
      <c r="AA84" s="451"/>
      <c r="AR84" s="98"/>
      <c r="AY84" s="1"/>
      <c r="AZ84" s="13"/>
      <c r="BA84" s="13"/>
      <c r="BC84" s="13"/>
    </row>
    <row r="85" spans="2:55" ht="24" customHeight="1" x14ac:dyDescent="0.3">
      <c r="B85" s="56">
        <v>18</v>
      </c>
      <c r="C85" s="172"/>
      <c r="D85" s="234"/>
      <c r="E85" s="593"/>
      <c r="F85" s="593"/>
      <c r="G85" s="593"/>
      <c r="H85" s="593"/>
      <c r="I85" s="593"/>
      <c r="J85" s="94"/>
      <c r="K85" s="94"/>
      <c r="L85" s="593"/>
      <c r="M85" s="593"/>
      <c r="N85" s="593"/>
      <c r="O85" s="593"/>
      <c r="P85" s="593"/>
      <c r="Q85" s="94"/>
      <c r="R85" s="94"/>
      <c r="S85" s="594"/>
      <c r="T85" s="594"/>
      <c r="U85" s="594"/>
      <c r="V85" s="54">
        <f t="shared" si="306"/>
        <v>0</v>
      </c>
      <c r="W85" s="566">
        <v>0.32</v>
      </c>
      <c r="X85" s="94"/>
      <c r="Y85" s="94">
        <v>0.32</v>
      </c>
      <c r="Z85" s="94"/>
      <c r="AA85" s="451"/>
      <c r="AR85" s="98"/>
      <c r="AY85" s="1"/>
      <c r="AZ85" s="13"/>
      <c r="BA85" s="13"/>
      <c r="BC85" s="13"/>
    </row>
    <row r="86" spans="2:55" ht="24" customHeight="1" x14ac:dyDescent="0.3">
      <c r="B86" s="56">
        <v>19</v>
      </c>
      <c r="C86" s="172"/>
      <c r="D86" s="234">
        <v>5.7000000000000002E-2</v>
      </c>
      <c r="E86" s="593">
        <v>0.02</v>
      </c>
      <c r="F86" s="593">
        <v>2E-3</v>
      </c>
      <c r="G86" s="593">
        <v>2.5999999999999999E-2</v>
      </c>
      <c r="H86" s="593">
        <v>5.0000000000000001E-3</v>
      </c>
      <c r="I86" s="593">
        <v>2E-3</v>
      </c>
      <c r="J86" s="94">
        <v>3.3000000000000002E-2</v>
      </c>
      <c r="K86" s="94">
        <v>2E-3</v>
      </c>
      <c r="L86" s="593">
        <v>1.2E-2</v>
      </c>
      <c r="M86" s="593"/>
      <c r="N86" s="593">
        <v>0</v>
      </c>
      <c r="O86" s="593">
        <v>0</v>
      </c>
      <c r="P86" s="593">
        <v>0</v>
      </c>
      <c r="Q86" s="94">
        <v>5.0000000000000001E-3</v>
      </c>
      <c r="R86" s="94">
        <v>0</v>
      </c>
      <c r="S86" s="594">
        <v>0</v>
      </c>
      <c r="T86" s="594">
        <v>0</v>
      </c>
      <c r="U86" s="594">
        <v>0</v>
      </c>
      <c r="V86" s="54">
        <f t="shared" si="306"/>
        <v>0.16400000000000003</v>
      </c>
      <c r="W86" s="566">
        <v>0.32</v>
      </c>
      <c r="X86" s="94"/>
      <c r="Y86" s="94">
        <v>0.32</v>
      </c>
      <c r="Z86" s="94"/>
      <c r="AA86" s="451"/>
      <c r="AR86" s="98"/>
      <c r="AY86" s="1"/>
      <c r="AZ86" s="13"/>
      <c r="BA86" s="13"/>
      <c r="BC86" s="13"/>
    </row>
    <row r="87" spans="2:55" ht="24" customHeight="1" x14ac:dyDescent="0.3">
      <c r="B87" s="56">
        <v>20</v>
      </c>
      <c r="C87" s="172"/>
      <c r="D87" s="234">
        <v>1.6E-2</v>
      </c>
      <c r="E87" s="593">
        <v>5.0000000000000001E-3</v>
      </c>
      <c r="F87" s="593">
        <v>1E-3</v>
      </c>
      <c r="G87" s="593">
        <v>0.01</v>
      </c>
      <c r="H87" s="593">
        <v>2E-3</v>
      </c>
      <c r="I87" s="593">
        <v>1E-3</v>
      </c>
      <c r="J87" s="94">
        <v>1.2E-2</v>
      </c>
      <c r="K87" s="94">
        <v>1E-3</v>
      </c>
      <c r="L87" s="593">
        <v>4.0000000000000001E-3</v>
      </c>
      <c r="M87" s="593"/>
      <c r="N87" s="593">
        <v>0</v>
      </c>
      <c r="O87" s="593">
        <v>1E-3</v>
      </c>
      <c r="P87" s="593">
        <v>0</v>
      </c>
      <c r="Q87" s="94">
        <v>0</v>
      </c>
      <c r="R87" s="94">
        <v>0</v>
      </c>
      <c r="S87" s="594">
        <v>0</v>
      </c>
      <c r="T87" s="594">
        <v>0</v>
      </c>
      <c r="U87" s="594">
        <v>0</v>
      </c>
      <c r="V87" s="54">
        <f t="shared" si="306"/>
        <v>5.3000000000000005E-2</v>
      </c>
      <c r="W87" s="566">
        <v>0.14000000000000001</v>
      </c>
      <c r="X87" s="94"/>
      <c r="Y87" s="94">
        <v>0.1</v>
      </c>
      <c r="Z87" s="94"/>
      <c r="AA87" s="451"/>
      <c r="AR87" s="98"/>
      <c r="AY87" s="1"/>
      <c r="AZ87" s="13"/>
      <c r="BA87" s="13"/>
      <c r="BC87" s="13"/>
    </row>
    <row r="88" spans="2:55" ht="24" customHeight="1" x14ac:dyDescent="0.3">
      <c r="B88" s="56">
        <v>21</v>
      </c>
      <c r="C88" s="172"/>
      <c r="D88" s="234">
        <v>2.3E-2</v>
      </c>
      <c r="E88" s="593">
        <v>8.0000000000000002E-3</v>
      </c>
      <c r="F88" s="593">
        <v>1E-3</v>
      </c>
      <c r="G88" s="593">
        <v>0.01</v>
      </c>
      <c r="H88" s="593">
        <v>2E-3</v>
      </c>
      <c r="I88" s="593">
        <v>1E-3</v>
      </c>
      <c r="J88" s="94">
        <v>1.2E-2</v>
      </c>
      <c r="K88" s="94">
        <v>1E-3</v>
      </c>
      <c r="L88" s="593">
        <v>4.0000000000000001E-3</v>
      </c>
      <c r="M88" s="593"/>
      <c r="N88" s="593">
        <v>0</v>
      </c>
      <c r="O88" s="593">
        <v>1E-3</v>
      </c>
      <c r="P88" s="593">
        <v>0</v>
      </c>
      <c r="Q88" s="94">
        <v>0</v>
      </c>
      <c r="R88" s="94">
        <v>0</v>
      </c>
      <c r="S88" s="594">
        <v>0</v>
      </c>
      <c r="T88" s="594">
        <v>0</v>
      </c>
      <c r="U88" s="594">
        <v>0</v>
      </c>
      <c r="V88" s="54">
        <f t="shared" si="306"/>
        <v>6.3000000000000014E-2</v>
      </c>
      <c r="W88" s="566">
        <v>0.1</v>
      </c>
      <c r="X88" s="94"/>
      <c r="Y88" s="94">
        <v>0.1</v>
      </c>
      <c r="Z88" s="94"/>
      <c r="AA88" s="451"/>
      <c r="AR88" s="98"/>
      <c r="AY88" s="1"/>
      <c r="AZ88" s="13"/>
      <c r="BA88" s="13"/>
      <c r="BC88" s="13"/>
    </row>
    <row r="89" spans="2:55" ht="24" customHeight="1" x14ac:dyDescent="0.3">
      <c r="B89" s="56">
        <v>22</v>
      </c>
      <c r="C89" s="172"/>
      <c r="D89" s="234"/>
      <c r="E89" s="593"/>
      <c r="F89" s="593"/>
      <c r="G89" s="593"/>
      <c r="H89" s="593"/>
      <c r="I89" s="593"/>
      <c r="J89" s="94"/>
      <c r="K89" s="94"/>
      <c r="L89" s="593"/>
      <c r="M89" s="593"/>
      <c r="N89" s="593"/>
      <c r="O89" s="593"/>
      <c r="P89" s="593"/>
      <c r="Q89" s="94"/>
      <c r="R89" s="94"/>
      <c r="S89" s="594"/>
      <c r="T89" s="594"/>
      <c r="U89" s="594"/>
      <c r="V89" s="54">
        <f t="shared" si="306"/>
        <v>0</v>
      </c>
      <c r="W89" s="566"/>
      <c r="X89" s="94"/>
      <c r="Y89" s="94"/>
      <c r="Z89" s="94"/>
      <c r="AA89" s="94"/>
      <c r="AR89" s="98"/>
      <c r="AY89" s="1"/>
      <c r="AZ89" s="13"/>
      <c r="BA89" s="13"/>
      <c r="BC89" s="13"/>
    </row>
    <row r="90" spans="2:55" ht="24" customHeight="1" x14ac:dyDescent="0.3">
      <c r="B90" s="56">
        <v>23</v>
      </c>
      <c r="C90" s="172"/>
      <c r="D90" s="234"/>
      <c r="E90" s="593"/>
      <c r="F90" s="593"/>
      <c r="G90" s="593"/>
      <c r="H90" s="593"/>
      <c r="I90" s="593"/>
      <c r="J90" s="94"/>
      <c r="K90" s="94"/>
      <c r="L90" s="593"/>
      <c r="M90" s="593"/>
      <c r="N90" s="593"/>
      <c r="O90" s="593"/>
      <c r="P90" s="593"/>
      <c r="Q90" s="94"/>
      <c r="R90" s="94"/>
      <c r="S90" s="594"/>
      <c r="T90" s="594"/>
      <c r="U90" s="594"/>
      <c r="V90" s="54">
        <f t="shared" si="306"/>
        <v>0</v>
      </c>
      <c r="W90" s="566"/>
      <c r="X90" s="94"/>
      <c r="Y90" s="94"/>
      <c r="Z90" s="94"/>
      <c r="AA90" s="94"/>
      <c r="AR90" s="98"/>
    </row>
    <row r="91" spans="2:55" ht="24" customHeight="1" x14ac:dyDescent="0.3">
      <c r="B91" s="56">
        <v>24</v>
      </c>
      <c r="C91" s="172"/>
      <c r="D91" s="234"/>
      <c r="E91" s="593"/>
      <c r="F91" s="593"/>
      <c r="G91" s="593"/>
      <c r="H91" s="593"/>
      <c r="I91" s="593"/>
      <c r="J91" s="94"/>
      <c r="K91" s="94"/>
      <c r="L91" s="593"/>
      <c r="M91" s="593"/>
      <c r="N91" s="593"/>
      <c r="O91" s="593"/>
      <c r="P91" s="593"/>
      <c r="Q91" s="94"/>
      <c r="R91" s="94"/>
      <c r="S91" s="594"/>
      <c r="T91" s="594"/>
      <c r="U91" s="594"/>
      <c r="V91" s="54">
        <f t="shared" si="306"/>
        <v>0</v>
      </c>
      <c r="W91" s="566"/>
      <c r="X91" s="94"/>
      <c r="Y91" s="94"/>
      <c r="Z91" s="94"/>
      <c r="AA91" s="451"/>
      <c r="AR91" s="98"/>
    </row>
    <row r="92" spans="2:55" ht="24" customHeight="1" x14ac:dyDescent="0.3">
      <c r="B92" s="56">
        <v>25</v>
      </c>
      <c r="C92" s="55"/>
      <c r="D92" s="234"/>
      <c r="E92" s="593"/>
      <c r="F92" s="593"/>
      <c r="G92" s="593"/>
      <c r="H92" s="593"/>
      <c r="I92" s="593"/>
      <c r="J92" s="94"/>
      <c r="K92" s="94"/>
      <c r="L92" s="593"/>
      <c r="M92" s="593"/>
      <c r="N92" s="593"/>
      <c r="O92" s="593"/>
      <c r="P92" s="593"/>
      <c r="Q92" s="94"/>
      <c r="R92" s="94"/>
      <c r="S92" s="594"/>
      <c r="T92" s="594"/>
      <c r="U92" s="594"/>
      <c r="V92" s="54">
        <f t="shared" si="306"/>
        <v>0</v>
      </c>
      <c r="W92" s="566"/>
      <c r="X92" s="94"/>
      <c r="Y92" s="94"/>
      <c r="Z92" s="94"/>
      <c r="AA92" s="451"/>
      <c r="AR92" s="98"/>
    </row>
    <row r="93" spans="2:55" ht="24" customHeight="1" x14ac:dyDescent="0.3">
      <c r="B93" s="56">
        <v>26</v>
      </c>
      <c r="C93" s="55"/>
      <c r="D93" s="234"/>
      <c r="E93" s="593"/>
      <c r="F93" s="593"/>
      <c r="G93" s="593"/>
      <c r="H93" s="593"/>
      <c r="I93" s="593"/>
      <c r="J93" s="94"/>
      <c r="K93" s="94"/>
      <c r="L93" s="593"/>
      <c r="M93" s="593"/>
      <c r="N93" s="593"/>
      <c r="O93" s="593"/>
      <c r="P93" s="593"/>
      <c r="Q93" s="94"/>
      <c r="R93" s="94"/>
      <c r="S93" s="594"/>
      <c r="T93" s="594"/>
      <c r="U93" s="594"/>
      <c r="V93" s="54">
        <f t="shared" si="306"/>
        <v>0</v>
      </c>
      <c r="W93" s="566"/>
      <c r="X93" s="94"/>
      <c r="Y93" s="94"/>
      <c r="Z93" s="94"/>
      <c r="AA93" s="94"/>
      <c r="AR93" s="98"/>
    </row>
    <row r="94" spans="2:55" ht="24" customHeight="1" x14ac:dyDescent="0.3">
      <c r="B94" s="56">
        <v>27</v>
      </c>
      <c r="C94" s="55"/>
      <c r="D94" s="234"/>
      <c r="E94" s="593"/>
      <c r="F94" s="593"/>
      <c r="G94" s="593"/>
      <c r="H94" s="593"/>
      <c r="I94" s="593"/>
      <c r="J94" s="94"/>
      <c r="K94" s="94"/>
      <c r="L94" s="593"/>
      <c r="M94" s="593"/>
      <c r="N94" s="593"/>
      <c r="O94" s="593"/>
      <c r="P94" s="593"/>
      <c r="Q94" s="94"/>
      <c r="R94" s="94"/>
      <c r="S94" s="594"/>
      <c r="T94" s="594"/>
      <c r="U94" s="594"/>
      <c r="V94" s="54">
        <f t="shared" si="306"/>
        <v>0</v>
      </c>
      <c r="W94" s="566"/>
      <c r="X94" s="94"/>
      <c r="Y94" s="94"/>
      <c r="Z94" s="94"/>
      <c r="AA94" s="451"/>
      <c r="AR94" s="98"/>
    </row>
    <row r="95" spans="2:55" ht="24" customHeight="1" x14ac:dyDescent="0.3">
      <c r="B95" s="56">
        <v>28</v>
      </c>
      <c r="C95" s="55"/>
      <c r="D95" s="711"/>
      <c r="E95" s="712"/>
      <c r="F95" s="712"/>
      <c r="G95" s="712"/>
      <c r="H95" s="712"/>
      <c r="I95" s="712"/>
      <c r="J95" s="713"/>
      <c r="K95" s="713"/>
      <c r="L95" s="712"/>
      <c r="M95" s="712"/>
      <c r="N95" s="712"/>
      <c r="O95" s="712"/>
      <c r="P95" s="712"/>
      <c r="Q95" s="713"/>
      <c r="R95" s="713"/>
      <c r="S95" s="714"/>
      <c r="T95" s="714"/>
      <c r="U95" s="714"/>
      <c r="V95" s="54">
        <f t="shared" si="306"/>
        <v>0</v>
      </c>
      <c r="W95" s="566"/>
      <c r="X95" s="94"/>
      <c r="Y95" s="94"/>
      <c r="Z95" s="94"/>
      <c r="AA95" s="94"/>
      <c r="AR95" s="98"/>
    </row>
    <row r="96" spans="2:55" ht="24" customHeight="1" x14ac:dyDescent="0.3">
      <c r="B96" s="56">
        <v>29</v>
      </c>
      <c r="C96" s="55"/>
      <c r="D96" s="234"/>
      <c r="E96" s="593"/>
      <c r="F96" s="593"/>
      <c r="G96" s="593"/>
      <c r="H96" s="593"/>
      <c r="I96" s="593"/>
      <c r="J96" s="94"/>
      <c r="K96" s="94"/>
      <c r="L96" s="593"/>
      <c r="M96" s="593"/>
      <c r="N96" s="593"/>
      <c r="O96" s="593"/>
      <c r="P96" s="593"/>
      <c r="Q96" s="94"/>
      <c r="R96" s="94"/>
      <c r="S96" s="594"/>
      <c r="T96" s="594"/>
      <c r="U96" s="594"/>
      <c r="V96" s="54">
        <f t="shared" si="306"/>
        <v>0</v>
      </c>
      <c r="W96" s="566"/>
      <c r="X96" s="94"/>
      <c r="Y96" s="94"/>
      <c r="Z96" s="94"/>
      <c r="AA96" s="451"/>
      <c r="AR96" s="98"/>
    </row>
    <row r="97" spans="2:44" ht="24" customHeight="1" x14ac:dyDescent="0.3">
      <c r="B97" s="56">
        <v>30</v>
      </c>
      <c r="C97" s="55"/>
      <c r="D97" s="234"/>
      <c r="E97" s="593"/>
      <c r="F97" s="593"/>
      <c r="G97" s="593"/>
      <c r="H97" s="593"/>
      <c r="I97" s="593"/>
      <c r="J97" s="94"/>
      <c r="K97" s="94"/>
      <c r="L97" s="593"/>
      <c r="M97" s="593"/>
      <c r="N97" s="593"/>
      <c r="O97" s="593"/>
      <c r="P97" s="593"/>
      <c r="Q97" s="94"/>
      <c r="R97" s="94"/>
      <c r="S97" s="594"/>
      <c r="T97" s="594"/>
      <c r="U97" s="594"/>
      <c r="V97" s="54">
        <f t="shared" si="306"/>
        <v>0</v>
      </c>
      <c r="W97" s="566"/>
      <c r="X97" s="94"/>
      <c r="Y97" s="94"/>
      <c r="Z97" s="94"/>
      <c r="AA97" s="94"/>
      <c r="AR97" s="98"/>
    </row>
    <row r="98" spans="2:44" ht="24" customHeight="1" x14ac:dyDescent="0.3">
      <c r="B98" s="723">
        <v>31</v>
      </c>
      <c r="C98" s="55"/>
      <c r="D98" s="234"/>
      <c r="E98" s="593"/>
      <c r="F98" s="593"/>
      <c r="G98" s="593"/>
      <c r="H98" s="593"/>
      <c r="I98" s="593"/>
      <c r="J98" s="94"/>
      <c r="K98" s="94"/>
      <c r="L98" s="593"/>
      <c r="M98" s="593"/>
      <c r="N98" s="593"/>
      <c r="O98" s="593"/>
      <c r="P98" s="593"/>
      <c r="Q98" s="94"/>
      <c r="R98" s="94"/>
      <c r="S98" s="594"/>
      <c r="T98" s="594"/>
      <c r="U98" s="594"/>
      <c r="V98" s="54">
        <f t="shared" si="306"/>
        <v>0</v>
      </c>
      <c r="W98" s="566"/>
      <c r="X98" s="39"/>
      <c r="Y98" s="94"/>
      <c r="Z98" s="94"/>
      <c r="AA98" s="451"/>
      <c r="AR98" s="98"/>
    </row>
    <row r="99" spans="2:44" ht="24" customHeight="1" x14ac:dyDescent="0.3">
      <c r="B99" s="57" t="s">
        <v>73</v>
      </c>
      <c r="C99" s="58"/>
      <c r="D99" s="59">
        <f t="shared" ref="D99:U99" si="307">SUM(D68:D98)</f>
        <v>0.49000000000000005</v>
      </c>
      <c r="E99" s="59">
        <f t="shared" si="307"/>
        <v>0.12400000000000003</v>
      </c>
      <c r="F99" s="59">
        <f t="shared" si="307"/>
        <v>1.8000000000000002E-2</v>
      </c>
      <c r="G99" s="59">
        <f t="shared" si="307"/>
        <v>0.19600000000000004</v>
      </c>
      <c r="H99" s="59">
        <f t="shared" si="307"/>
        <v>3.7000000000000005E-2</v>
      </c>
      <c r="I99" s="59">
        <f t="shared" si="307"/>
        <v>1.7000000000000001E-2</v>
      </c>
      <c r="J99" s="59">
        <f t="shared" si="307"/>
        <v>0.252</v>
      </c>
      <c r="K99" s="59">
        <f t="shared" si="307"/>
        <v>2.0000000000000004E-2</v>
      </c>
      <c r="L99" s="59">
        <f t="shared" si="307"/>
        <v>8.4000000000000019E-2</v>
      </c>
      <c r="M99" s="59">
        <f t="shared" si="307"/>
        <v>0</v>
      </c>
      <c r="N99" s="59">
        <f t="shared" si="307"/>
        <v>0</v>
      </c>
      <c r="O99" s="59">
        <f t="shared" si="307"/>
        <v>2E-3</v>
      </c>
      <c r="P99" s="59">
        <f t="shared" si="307"/>
        <v>0</v>
      </c>
      <c r="Q99" s="59">
        <f t="shared" si="307"/>
        <v>5.0000000000000001E-3</v>
      </c>
      <c r="R99" s="59">
        <f t="shared" si="307"/>
        <v>0</v>
      </c>
      <c r="S99" s="59">
        <f t="shared" si="307"/>
        <v>0</v>
      </c>
      <c r="T99" s="59">
        <f t="shared" si="307"/>
        <v>0</v>
      </c>
      <c r="U99" s="59">
        <f t="shared" si="307"/>
        <v>0</v>
      </c>
      <c r="V99" s="60">
        <f t="shared" ref="V99:AA99" si="308">SUM(V68:V98)</f>
        <v>1.2449999999999999</v>
      </c>
      <c r="W99" s="242">
        <f>SUM(W68:W98)</f>
        <v>3.4000000000000012</v>
      </c>
      <c r="X99" s="462">
        <f>SUM(X74:X98)</f>
        <v>0</v>
      </c>
      <c r="Y99" s="94">
        <f t="shared" si="308"/>
        <v>3.4000000000000008</v>
      </c>
      <c r="Z99" s="59"/>
      <c r="AA99" s="59">
        <f t="shared" si="308"/>
        <v>0</v>
      </c>
      <c r="AR99" s="98"/>
    </row>
    <row r="100" spans="2:44" ht="24" customHeight="1" x14ac:dyDescent="0.3">
      <c r="B100" s="47"/>
      <c r="C100" s="47"/>
      <c r="D100" s="438"/>
      <c r="E100" s="438"/>
      <c r="F100" s="438"/>
      <c r="G100" s="438"/>
      <c r="H100" s="40"/>
      <c r="I100" s="438"/>
      <c r="J100" s="438"/>
      <c r="K100" s="438"/>
      <c r="L100" s="438"/>
      <c r="M100" s="438"/>
      <c r="N100" s="438"/>
      <c r="O100" s="438"/>
      <c r="P100" s="438"/>
      <c r="Q100" s="438"/>
      <c r="R100" s="438"/>
      <c r="S100" s="438"/>
      <c r="T100" s="438"/>
      <c r="U100" s="438"/>
      <c r="V100" s="439"/>
      <c r="AR100" s="98"/>
    </row>
    <row r="101" spans="2:44" ht="24" customHeight="1" x14ac:dyDescent="0.3">
      <c r="B101" s="47"/>
      <c r="C101" s="47"/>
      <c r="D101" s="438"/>
      <c r="E101" s="438"/>
      <c r="F101" s="438"/>
      <c r="G101" s="438"/>
      <c r="H101" s="40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9"/>
      <c r="AR101" s="98"/>
    </row>
    <row r="102" spans="2:44" ht="24" customHeight="1" x14ac:dyDescent="0.25">
      <c r="B102" s="45" t="s">
        <v>158</v>
      </c>
      <c r="C102" s="45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AR102" s="98"/>
    </row>
    <row r="103" spans="2:44" ht="24" customHeight="1" x14ac:dyDescent="0.25">
      <c r="B103" s="64" t="s">
        <v>24</v>
      </c>
      <c r="C103" s="65" t="s">
        <v>4</v>
      </c>
      <c r="D103" s="66" t="s">
        <v>5</v>
      </c>
      <c r="E103" s="67" t="s">
        <v>6</v>
      </c>
      <c r="F103" s="67" t="s">
        <v>7</v>
      </c>
      <c r="G103" s="10" t="s">
        <v>153</v>
      </c>
      <c r="H103" s="67" t="s">
        <v>8</v>
      </c>
      <c r="I103" s="67" t="s">
        <v>9</v>
      </c>
      <c r="J103" s="67" t="s">
        <v>10</v>
      </c>
      <c r="K103" s="67" t="s">
        <v>156</v>
      </c>
      <c r="L103" s="8" t="s">
        <v>66</v>
      </c>
      <c r="M103" s="67" t="s">
        <v>12</v>
      </c>
      <c r="N103" s="67" t="s">
        <v>13</v>
      </c>
      <c r="O103" s="67" t="s">
        <v>14</v>
      </c>
      <c r="P103" s="67" t="s">
        <v>15</v>
      </c>
      <c r="Q103" s="67" t="s">
        <v>52</v>
      </c>
      <c r="R103" s="67" t="s">
        <v>17</v>
      </c>
      <c r="S103" s="67" t="s">
        <v>18</v>
      </c>
      <c r="T103" s="67" t="s">
        <v>19</v>
      </c>
      <c r="U103" s="67" t="s">
        <v>20</v>
      </c>
      <c r="V103" s="11" t="s">
        <v>21</v>
      </c>
      <c r="W103" s="240" t="s">
        <v>70</v>
      </c>
      <c r="X103" s="561"/>
      <c r="Y103" s="775" t="s">
        <v>194</v>
      </c>
      <c r="Z103" s="773" t="s">
        <v>194</v>
      </c>
      <c r="AR103" s="98"/>
    </row>
    <row r="104" spans="2:44" ht="24" customHeight="1" x14ac:dyDescent="0.25">
      <c r="B104" s="73"/>
      <c r="C104" s="74" t="s">
        <v>49</v>
      </c>
      <c r="D104" s="170">
        <v>115</v>
      </c>
      <c r="E104" s="62">
        <v>52.375</v>
      </c>
      <c r="F104" s="62">
        <v>24</v>
      </c>
      <c r="G104" s="17">
        <v>17168</v>
      </c>
      <c r="H104" s="75">
        <v>17100</v>
      </c>
      <c r="I104" s="75">
        <v>13800</v>
      </c>
      <c r="J104" s="75">
        <v>13700</v>
      </c>
      <c r="K104" s="75">
        <v>13500</v>
      </c>
      <c r="L104" s="17">
        <v>4.3</v>
      </c>
      <c r="M104" s="75">
        <v>6800</v>
      </c>
      <c r="N104" s="75">
        <v>3400</v>
      </c>
      <c r="O104" s="75">
        <v>2180</v>
      </c>
      <c r="P104" s="75">
        <v>1690</v>
      </c>
      <c r="Q104" s="75">
        <v>1220</v>
      </c>
      <c r="R104" s="76" t="s">
        <v>53</v>
      </c>
      <c r="S104" s="76" t="s">
        <v>54</v>
      </c>
      <c r="T104" s="76" t="s">
        <v>55</v>
      </c>
      <c r="U104" s="76" t="s">
        <v>56</v>
      </c>
      <c r="V104" s="77" t="s">
        <v>26</v>
      </c>
      <c r="W104" s="516" t="s">
        <v>193</v>
      </c>
      <c r="X104" s="563" t="s">
        <v>58</v>
      </c>
      <c r="Y104" s="776"/>
      <c r="Z104" s="774"/>
      <c r="AB104" s="20"/>
      <c r="AR104" s="98"/>
    </row>
    <row r="105" spans="2:44" ht="24" customHeight="1" x14ac:dyDescent="0.25">
      <c r="B105" s="68"/>
      <c r="C105" s="68"/>
      <c r="D105" s="69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8"/>
      <c r="W105" s="516" t="s">
        <v>59</v>
      </c>
      <c r="X105" s="562"/>
      <c r="Y105" s="564" t="s">
        <v>198</v>
      </c>
      <c r="Z105" s="560" t="s">
        <v>197</v>
      </c>
      <c r="AR105" s="98"/>
    </row>
    <row r="106" spans="2:44" ht="24" customHeight="1" x14ac:dyDescent="0.25">
      <c r="B106" s="61" t="s">
        <v>67</v>
      </c>
      <c r="C106" s="63"/>
      <c r="D106" s="94">
        <v>0.246</v>
      </c>
      <c r="E106" s="94">
        <v>0.17</v>
      </c>
      <c r="F106" s="94">
        <v>9.6000000000000002E-2</v>
      </c>
      <c r="G106" s="94">
        <v>8.8999999999999996E-2</v>
      </c>
      <c r="H106" s="94">
        <v>7.2999999999999995E-2</v>
      </c>
      <c r="I106" s="94">
        <v>1.9E-2</v>
      </c>
      <c r="J106" s="94">
        <v>0.05</v>
      </c>
      <c r="K106" s="94">
        <v>0.124</v>
      </c>
      <c r="L106" s="94">
        <v>0.18000000000000002</v>
      </c>
      <c r="M106" s="94"/>
      <c r="N106" s="94">
        <v>3.7999999999999999E-2</v>
      </c>
      <c r="O106" s="94">
        <v>2E-3</v>
      </c>
      <c r="P106" s="94">
        <v>3.1E-2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2">
        <f>SUM(D106:U106)</f>
        <v>1.1179999999999999</v>
      </c>
      <c r="W106" s="242">
        <v>0</v>
      </c>
      <c r="X106" s="558" t="s">
        <v>284</v>
      </c>
      <c r="Y106" s="539">
        <v>0</v>
      </c>
      <c r="Z106" s="559">
        <v>0</v>
      </c>
      <c r="AR106" s="98"/>
    </row>
    <row r="107" spans="2:44" ht="24" customHeight="1" x14ac:dyDescent="0.25">
      <c r="B107" s="81" t="s">
        <v>68</v>
      </c>
      <c r="C107" s="63"/>
      <c r="D107" s="94">
        <v>0.45799999999999996</v>
      </c>
      <c r="E107" s="94">
        <v>0.155</v>
      </c>
      <c r="F107" s="94">
        <v>7.5999999999999998E-2</v>
      </c>
      <c r="G107" s="94">
        <v>5.1999999999999998E-2</v>
      </c>
      <c r="H107" s="94">
        <v>0.13500000000000001</v>
      </c>
      <c r="I107" s="94">
        <v>7.5999999999999998E-2</v>
      </c>
      <c r="J107" s="94">
        <v>0.104</v>
      </c>
      <c r="K107" s="94">
        <v>0.28299999999999997</v>
      </c>
      <c r="L107" s="94">
        <v>0.20800000000000002</v>
      </c>
      <c r="M107" s="94"/>
      <c r="N107" s="94">
        <v>1.7000000000000001E-2</v>
      </c>
      <c r="O107" s="94">
        <v>3.0000000000000009E-3</v>
      </c>
      <c r="P107" s="94">
        <v>3.6999999999999998E-2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2">
        <f>SUM(D107:U107)</f>
        <v>1.6039999999999996</v>
      </c>
      <c r="W107" s="242">
        <v>0</v>
      </c>
      <c r="X107" s="558" t="s">
        <v>285</v>
      </c>
      <c r="Y107" s="539">
        <v>0</v>
      </c>
      <c r="Z107" s="559">
        <v>0</v>
      </c>
      <c r="AR107" s="98"/>
    </row>
    <row r="108" spans="2:44" ht="24" customHeight="1" x14ac:dyDescent="0.25">
      <c r="B108" s="81">
        <v>3</v>
      </c>
      <c r="C108" s="63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2">
        <f t="shared" ref="V108:V136" si="309">SUM(D108:U108)</f>
        <v>0</v>
      </c>
      <c r="W108" s="242">
        <v>0.7</v>
      </c>
      <c r="X108" s="558" t="s">
        <v>286</v>
      </c>
      <c r="Y108" s="539">
        <v>0.74</v>
      </c>
      <c r="Z108" s="559">
        <v>0</v>
      </c>
      <c r="AR108" s="98"/>
    </row>
    <row r="109" spans="2:44" ht="24" customHeight="1" x14ac:dyDescent="0.25">
      <c r="B109" s="61">
        <v>4</v>
      </c>
      <c r="C109" s="63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2">
        <f t="shared" si="309"/>
        <v>0</v>
      </c>
      <c r="W109" s="242">
        <v>1.72</v>
      </c>
      <c r="X109" s="558" t="s">
        <v>287</v>
      </c>
      <c r="Y109" s="539">
        <v>1.71</v>
      </c>
      <c r="Z109" s="559">
        <v>0</v>
      </c>
      <c r="AR109" s="98"/>
    </row>
    <row r="110" spans="2:44" ht="24" customHeight="1" x14ac:dyDescent="0.25">
      <c r="B110" s="61">
        <v>5</v>
      </c>
      <c r="C110" s="63"/>
      <c r="D110" s="94">
        <v>0.8660000000000001</v>
      </c>
      <c r="E110" s="94">
        <v>0.57899999999999996</v>
      </c>
      <c r="F110" s="94">
        <v>0.23100000000000001</v>
      </c>
      <c r="G110" s="94">
        <v>0.18</v>
      </c>
      <c r="H110" s="94">
        <v>0.25800000000000001</v>
      </c>
      <c r="I110" s="94">
        <v>0.14499999999999999</v>
      </c>
      <c r="J110" s="94">
        <v>0.25700000000000001</v>
      </c>
      <c r="K110" s="94">
        <v>0.498</v>
      </c>
      <c r="L110" s="94">
        <v>0.59099999999999997</v>
      </c>
      <c r="M110" s="94"/>
      <c r="N110" s="94">
        <v>3.6999999999999998E-2</v>
      </c>
      <c r="O110" s="94">
        <v>5.9999999999999984E-3</v>
      </c>
      <c r="P110" s="94">
        <v>0.10199999999999999</v>
      </c>
      <c r="Q110" s="94">
        <v>0</v>
      </c>
      <c r="R110" s="94">
        <v>0</v>
      </c>
      <c r="S110" s="94">
        <v>0</v>
      </c>
      <c r="T110" s="94">
        <v>0</v>
      </c>
      <c r="U110" s="94">
        <v>0</v>
      </c>
      <c r="V110" s="92">
        <f t="shared" si="309"/>
        <v>3.75</v>
      </c>
      <c r="W110" s="242">
        <v>4.38</v>
      </c>
      <c r="X110" s="558" t="s">
        <v>288</v>
      </c>
      <c r="Y110" s="539">
        <v>4.38</v>
      </c>
      <c r="Z110" s="559">
        <v>0</v>
      </c>
      <c r="AR110" s="98"/>
    </row>
    <row r="111" spans="2:44" ht="24" customHeight="1" x14ac:dyDescent="0.25">
      <c r="B111" s="81">
        <v>6</v>
      </c>
      <c r="C111" s="63"/>
      <c r="D111" s="94">
        <v>0.374</v>
      </c>
      <c r="E111" s="94">
        <v>0.17100000000000001</v>
      </c>
      <c r="F111" s="94">
        <v>7.9000000000000001E-2</v>
      </c>
      <c r="G111" s="94">
        <v>4.9000000000000002E-2</v>
      </c>
      <c r="H111" s="94">
        <v>0.17100000000000001</v>
      </c>
      <c r="I111" s="94">
        <v>3.1E-2</v>
      </c>
      <c r="J111" s="94">
        <v>8.8999999999999996E-2</v>
      </c>
      <c r="K111" s="94">
        <v>0.19700000000000001</v>
      </c>
      <c r="L111" s="94">
        <v>0.26900000000000002</v>
      </c>
      <c r="M111" s="94"/>
      <c r="N111" s="94">
        <v>3.4000000000000002E-2</v>
      </c>
      <c r="O111" s="94">
        <v>2.3E-2</v>
      </c>
      <c r="P111" s="94">
        <v>0.04</v>
      </c>
      <c r="Q111" s="94">
        <v>0</v>
      </c>
      <c r="R111" s="94">
        <v>0</v>
      </c>
      <c r="S111" s="94">
        <v>0</v>
      </c>
      <c r="T111" s="94">
        <v>0</v>
      </c>
      <c r="U111" s="94">
        <v>0</v>
      </c>
      <c r="V111" s="92">
        <f t="shared" si="309"/>
        <v>1.5270000000000001</v>
      </c>
      <c r="W111" s="242">
        <v>6.35</v>
      </c>
      <c r="X111" s="558" t="s">
        <v>289</v>
      </c>
      <c r="Y111" s="539">
        <v>6.34</v>
      </c>
      <c r="Z111" s="559">
        <v>0</v>
      </c>
      <c r="AR111" s="98"/>
    </row>
    <row r="112" spans="2:44" ht="24" customHeight="1" x14ac:dyDescent="0.25">
      <c r="B112" s="61">
        <v>7</v>
      </c>
      <c r="C112" s="63"/>
      <c r="D112" s="94">
        <v>0.35299999999999998</v>
      </c>
      <c r="E112" s="94">
        <v>0.14699999999999999</v>
      </c>
      <c r="F112" s="94">
        <v>7.0999999999999994E-2</v>
      </c>
      <c r="G112" s="94">
        <v>5.5E-2</v>
      </c>
      <c r="H112" s="94">
        <v>0.14699999999999999</v>
      </c>
      <c r="I112" s="94">
        <v>2.7E-2</v>
      </c>
      <c r="J112" s="94">
        <v>8.4000000000000005E-2</v>
      </c>
      <c r="K112" s="94">
        <v>0.191</v>
      </c>
      <c r="L112" s="94">
        <v>0.26500000000000001</v>
      </c>
      <c r="M112" s="94"/>
      <c r="N112" s="94">
        <v>1.4999999999999999E-2</v>
      </c>
      <c r="O112" s="94">
        <v>1.8000000000000002E-2</v>
      </c>
      <c r="P112" s="94">
        <v>3.3000000000000002E-2</v>
      </c>
      <c r="Q112" s="94">
        <v>0</v>
      </c>
      <c r="R112" s="94">
        <v>0</v>
      </c>
      <c r="S112" s="94">
        <v>0</v>
      </c>
      <c r="T112" s="94">
        <v>0</v>
      </c>
      <c r="U112" s="94">
        <v>0</v>
      </c>
      <c r="V112" s="92">
        <f t="shared" si="309"/>
        <v>1.4059999999999997</v>
      </c>
      <c r="W112" s="242">
        <f>W99</f>
        <v>3.4000000000000012</v>
      </c>
      <c r="X112" s="558" t="s">
        <v>290</v>
      </c>
      <c r="Y112" s="539">
        <f>Y99</f>
        <v>3.4000000000000008</v>
      </c>
      <c r="Z112" s="567">
        <v>0</v>
      </c>
      <c r="AR112" s="98"/>
    </row>
    <row r="113" spans="2:44" ht="24" customHeight="1" x14ac:dyDescent="0.25">
      <c r="B113" s="61">
        <v>8</v>
      </c>
      <c r="C113" s="63"/>
      <c r="D113" s="94">
        <v>0.25700000000000001</v>
      </c>
      <c r="E113" s="94">
        <v>0.13200000000000001</v>
      </c>
      <c r="F113" s="94">
        <v>7.9000000000000001E-2</v>
      </c>
      <c r="G113" s="94">
        <v>4.8000000000000001E-2</v>
      </c>
      <c r="H113" s="94">
        <v>7.2999999999999995E-2</v>
      </c>
      <c r="I113" s="94">
        <v>2.5999999999999999E-2</v>
      </c>
      <c r="J113" s="94">
        <v>8.3000000000000004E-2</v>
      </c>
      <c r="K113" s="94">
        <v>0.13800000000000001</v>
      </c>
      <c r="L113" s="94">
        <v>0.23100000000000001</v>
      </c>
      <c r="M113" s="94"/>
      <c r="N113" s="94">
        <v>1.2E-2</v>
      </c>
      <c r="O113" s="94">
        <v>4.0000000000000001E-3</v>
      </c>
      <c r="P113" s="94">
        <v>3.4000000000000002E-2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2">
        <f t="shared" si="309"/>
        <v>1.117</v>
      </c>
      <c r="W113" s="242">
        <v>0</v>
      </c>
      <c r="X113" s="558" t="s">
        <v>291</v>
      </c>
      <c r="Y113" s="539">
        <v>0</v>
      </c>
      <c r="Z113" s="567"/>
      <c r="AR113" s="98"/>
    </row>
    <row r="114" spans="2:44" ht="24" customHeight="1" x14ac:dyDescent="0.25">
      <c r="B114" s="81">
        <v>9</v>
      </c>
      <c r="C114" s="63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2">
        <f t="shared" si="309"/>
        <v>0</v>
      </c>
      <c r="W114" s="242">
        <v>0</v>
      </c>
      <c r="X114" s="558" t="s">
        <v>292</v>
      </c>
      <c r="Y114" s="539">
        <v>0</v>
      </c>
      <c r="Z114" s="567"/>
      <c r="AR114" s="98"/>
    </row>
    <row r="115" spans="2:44" ht="24" customHeight="1" x14ac:dyDescent="0.25">
      <c r="B115" s="61">
        <v>10</v>
      </c>
      <c r="C115" s="63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2">
        <f t="shared" si="309"/>
        <v>0</v>
      </c>
      <c r="W115" s="242">
        <f>SUM(W106:W114)</f>
        <v>16.55</v>
      </c>
      <c r="X115" s="558" t="s">
        <v>21</v>
      </c>
      <c r="Y115" s="539">
        <f>SUM(Y106:Y114)</f>
        <v>16.57</v>
      </c>
      <c r="Z115" s="559">
        <f>SUM(Z106:Z114)</f>
        <v>0</v>
      </c>
      <c r="AR115" s="98"/>
    </row>
    <row r="116" spans="2:44" ht="24" customHeight="1" x14ac:dyDescent="0.25">
      <c r="B116" s="61">
        <v>11</v>
      </c>
      <c r="C116" s="63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2">
        <f t="shared" si="309"/>
        <v>0</v>
      </c>
      <c r="AR116" s="98"/>
    </row>
    <row r="117" spans="2:44" ht="24" customHeight="1" x14ac:dyDescent="0.25">
      <c r="B117" s="81">
        <v>12</v>
      </c>
      <c r="C117" s="63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2">
        <f t="shared" si="309"/>
        <v>0</v>
      </c>
      <c r="AR117" s="98"/>
    </row>
    <row r="118" spans="2:44" ht="24" customHeight="1" x14ac:dyDescent="0.25">
      <c r="B118" s="61">
        <v>13</v>
      </c>
      <c r="C118" s="63"/>
      <c r="D118" s="94">
        <v>0.9890000000000001</v>
      </c>
      <c r="E118" s="94">
        <v>0.498</v>
      </c>
      <c r="F118" s="94">
        <v>0.23499999999999999</v>
      </c>
      <c r="G118" s="94">
        <v>0.20300000000000001</v>
      </c>
      <c r="H118" s="94">
        <v>0.36799999999999999</v>
      </c>
      <c r="I118" s="94">
        <v>9.9000000000000005E-2</v>
      </c>
      <c r="J118" s="94">
        <v>0.28900000000000003</v>
      </c>
      <c r="K118" s="94">
        <v>0.50600000000000001</v>
      </c>
      <c r="L118" s="94">
        <v>0.84599999999999997</v>
      </c>
      <c r="M118" s="94"/>
      <c r="N118" s="94">
        <v>4.2999999999999997E-2</v>
      </c>
      <c r="O118" s="94">
        <v>1.9000000000000003E-2</v>
      </c>
      <c r="P118" s="94">
        <v>0.13200000000000001</v>
      </c>
      <c r="Q118" s="94">
        <v>0</v>
      </c>
      <c r="R118" s="94">
        <v>0</v>
      </c>
      <c r="S118" s="94">
        <v>0</v>
      </c>
      <c r="T118" s="94">
        <v>0</v>
      </c>
      <c r="U118" s="94">
        <v>0</v>
      </c>
      <c r="V118" s="92">
        <f t="shared" si="309"/>
        <v>4.2270000000000003</v>
      </c>
      <c r="AR118" s="98"/>
    </row>
    <row r="119" spans="2:44" ht="24" customHeight="1" x14ac:dyDescent="0.25">
      <c r="B119" s="61">
        <v>14</v>
      </c>
      <c r="C119" s="63"/>
      <c r="D119" s="94">
        <v>0.15699999999999997</v>
      </c>
      <c r="E119" s="94">
        <v>6.5000000000000002E-2</v>
      </c>
      <c r="F119" s="94">
        <v>5.0999999999999997E-2</v>
      </c>
      <c r="G119" s="94">
        <v>3.2000000000000001E-2</v>
      </c>
      <c r="H119" s="94">
        <v>4.2999999999999997E-2</v>
      </c>
      <c r="I119" s="94">
        <v>1.7000000000000001E-2</v>
      </c>
      <c r="J119" s="94">
        <v>3.1E-2</v>
      </c>
      <c r="K119" s="94">
        <v>8.1000000000000003E-2</v>
      </c>
      <c r="L119" s="94">
        <v>0.13300000000000001</v>
      </c>
      <c r="M119" s="94"/>
      <c r="N119" s="94">
        <v>2E-3</v>
      </c>
      <c r="O119" s="94">
        <v>2.0000000000000018E-3</v>
      </c>
      <c r="P119" s="94">
        <v>2.1999999999999999E-2</v>
      </c>
      <c r="Q119" s="94">
        <v>0</v>
      </c>
      <c r="R119" s="94">
        <v>0</v>
      </c>
      <c r="S119" s="94">
        <v>0</v>
      </c>
      <c r="T119" s="94">
        <v>0</v>
      </c>
      <c r="U119" s="94">
        <v>0</v>
      </c>
      <c r="V119" s="92">
        <f t="shared" si="309"/>
        <v>0.6359999999999999</v>
      </c>
      <c r="AR119" s="98"/>
    </row>
    <row r="120" spans="2:44" ht="24" customHeight="1" x14ac:dyDescent="0.25">
      <c r="B120" s="61">
        <v>15</v>
      </c>
      <c r="C120" s="63"/>
      <c r="D120" s="94">
        <v>0.122</v>
      </c>
      <c r="E120" s="94">
        <v>7.8E-2</v>
      </c>
      <c r="F120" s="94">
        <v>4.4999999999999998E-2</v>
      </c>
      <c r="G120" s="94">
        <v>2.5999999999999999E-2</v>
      </c>
      <c r="H120" s="94">
        <v>5.6000000000000001E-2</v>
      </c>
      <c r="I120" s="94">
        <v>1.9E-2</v>
      </c>
      <c r="J120" s="94">
        <v>3.5000000000000003E-2</v>
      </c>
      <c r="K120" s="94">
        <v>7.8E-2</v>
      </c>
      <c r="L120" s="94">
        <v>0.11900000000000001</v>
      </c>
      <c r="M120" s="94"/>
      <c r="N120" s="94">
        <v>8.9999999999999993E-3</v>
      </c>
      <c r="O120" s="94">
        <v>2.0000000000000018E-3</v>
      </c>
      <c r="P120" s="94">
        <v>2.1000000000000001E-2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2">
        <f t="shared" si="309"/>
        <v>0.6100000000000001</v>
      </c>
      <c r="AR120" s="98"/>
    </row>
    <row r="121" spans="2:44" ht="24" customHeight="1" x14ac:dyDescent="0.25">
      <c r="B121" s="61">
        <v>16</v>
      </c>
      <c r="C121" s="63"/>
      <c r="D121" s="94">
        <v>0.13300000000000001</v>
      </c>
      <c r="E121" s="94">
        <v>8.1000000000000003E-2</v>
      </c>
      <c r="F121" s="94">
        <v>4.5999999999999999E-2</v>
      </c>
      <c r="G121" s="94">
        <v>2.5999999999999999E-2</v>
      </c>
      <c r="H121" s="94">
        <v>5.1999999999999998E-2</v>
      </c>
      <c r="I121" s="94">
        <v>1.6E-2</v>
      </c>
      <c r="J121" s="94">
        <v>4.1000000000000002E-2</v>
      </c>
      <c r="K121" s="94">
        <v>8.3000000000000004E-2</v>
      </c>
      <c r="L121" s="94">
        <v>0.11800000000000002</v>
      </c>
      <c r="M121" s="94"/>
      <c r="N121" s="94">
        <v>1.0999999999999999E-2</v>
      </c>
      <c r="O121" s="94">
        <v>1E-3</v>
      </c>
      <c r="P121" s="94">
        <v>1.4999999999999999E-2</v>
      </c>
      <c r="Q121" s="94">
        <v>0</v>
      </c>
      <c r="R121" s="94">
        <v>0</v>
      </c>
      <c r="S121" s="94">
        <v>0</v>
      </c>
      <c r="T121" s="94">
        <v>0</v>
      </c>
      <c r="U121" s="94">
        <v>0</v>
      </c>
      <c r="V121" s="92">
        <f t="shared" si="309"/>
        <v>0.62300000000000011</v>
      </c>
      <c r="AR121" s="98"/>
    </row>
    <row r="122" spans="2:44" ht="24" customHeight="1" x14ac:dyDescent="0.25">
      <c r="B122" s="61">
        <v>17</v>
      </c>
      <c r="C122" s="63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2">
        <f t="shared" si="309"/>
        <v>0</v>
      </c>
      <c r="AR122" s="98"/>
    </row>
    <row r="123" spans="2:44" ht="24" customHeight="1" x14ac:dyDescent="0.25">
      <c r="B123" s="81">
        <v>18</v>
      </c>
      <c r="C123" s="63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2">
        <f t="shared" si="309"/>
        <v>0</v>
      </c>
      <c r="AR123" s="98"/>
    </row>
    <row r="124" spans="2:44" ht="24" customHeight="1" x14ac:dyDescent="0.25">
      <c r="B124" s="61">
        <v>19</v>
      </c>
      <c r="C124" s="71"/>
      <c r="D124" s="94">
        <v>0.62499999999999989</v>
      </c>
      <c r="E124" s="94">
        <v>0.32700000000000001</v>
      </c>
      <c r="F124" s="94">
        <v>0.13400000000000001</v>
      </c>
      <c r="G124" s="94">
        <v>9.5000000000000001E-2</v>
      </c>
      <c r="H124" s="94">
        <v>0.18099999999999999</v>
      </c>
      <c r="I124" s="94">
        <v>4.2999999999999997E-2</v>
      </c>
      <c r="J124" s="94">
        <v>0.10700000000000001</v>
      </c>
      <c r="K124" s="94">
        <v>0.23899999999999999</v>
      </c>
      <c r="L124" s="94">
        <v>0.34299999999999997</v>
      </c>
      <c r="M124" s="94"/>
      <c r="N124" s="94">
        <v>1.6E-2</v>
      </c>
      <c r="O124" s="94">
        <v>7.9999999999999984E-3</v>
      </c>
      <c r="P124" s="94">
        <v>5.8999999999999997E-2</v>
      </c>
      <c r="Q124" s="94">
        <v>0</v>
      </c>
      <c r="R124" s="94">
        <v>0</v>
      </c>
      <c r="S124" s="94">
        <v>0</v>
      </c>
      <c r="T124" s="94">
        <v>0</v>
      </c>
      <c r="U124" s="94">
        <v>0</v>
      </c>
      <c r="V124" s="92">
        <f t="shared" si="309"/>
        <v>2.177</v>
      </c>
      <c r="AR124" s="98"/>
    </row>
    <row r="125" spans="2:44" ht="24" customHeight="1" x14ac:dyDescent="0.25">
      <c r="B125" s="61">
        <v>20</v>
      </c>
      <c r="C125" s="63"/>
      <c r="D125" s="94">
        <v>0.124</v>
      </c>
      <c r="E125" s="94">
        <v>9.5000000000000001E-2</v>
      </c>
      <c r="F125" s="94">
        <v>4.7E-2</v>
      </c>
      <c r="G125" s="94">
        <v>2.8000000000000001E-2</v>
      </c>
      <c r="H125" s="94">
        <v>4.2000000000000003E-2</v>
      </c>
      <c r="I125" s="94">
        <v>1.2999999999999999E-2</v>
      </c>
      <c r="J125" s="94">
        <v>3.5000000000000003E-2</v>
      </c>
      <c r="K125" s="94">
        <v>3.9E-2</v>
      </c>
      <c r="L125" s="94">
        <v>0.113</v>
      </c>
      <c r="M125" s="94"/>
      <c r="N125" s="94">
        <v>1.2999999999999999E-2</v>
      </c>
      <c r="O125" s="94">
        <v>2E-3</v>
      </c>
      <c r="P125" s="94">
        <v>2.1999999999999999E-2</v>
      </c>
      <c r="Q125" s="94">
        <v>1E-3</v>
      </c>
      <c r="R125" s="94">
        <v>0</v>
      </c>
      <c r="S125" s="94">
        <v>0</v>
      </c>
      <c r="T125" s="94">
        <v>0</v>
      </c>
      <c r="U125" s="94">
        <v>0</v>
      </c>
      <c r="V125" s="92">
        <f t="shared" si="309"/>
        <v>0.57400000000000007</v>
      </c>
      <c r="AR125" s="98"/>
    </row>
    <row r="126" spans="2:44" ht="24" customHeight="1" x14ac:dyDescent="0.25">
      <c r="B126" s="81">
        <v>21</v>
      </c>
      <c r="C126" s="63"/>
      <c r="D126" s="94">
        <v>0.13599999999999998</v>
      </c>
      <c r="E126" s="94">
        <v>5.6000000000000001E-2</v>
      </c>
      <c r="F126" s="94">
        <v>4.7E-2</v>
      </c>
      <c r="G126" s="94">
        <v>2.3E-2</v>
      </c>
      <c r="H126" s="94">
        <v>3.5999999999999997E-2</v>
      </c>
      <c r="I126" s="94">
        <v>0.01</v>
      </c>
      <c r="J126" s="94">
        <v>2.7000000000000003E-2</v>
      </c>
      <c r="K126" s="94">
        <v>3.3000000000000002E-2</v>
      </c>
      <c r="L126" s="94">
        <v>0.111</v>
      </c>
      <c r="M126" s="94"/>
      <c r="N126" s="94">
        <v>1.2E-2</v>
      </c>
      <c r="O126" s="94">
        <v>1E-3</v>
      </c>
      <c r="P126" s="94">
        <v>7.0000000000000001E-3</v>
      </c>
      <c r="Q126" s="94">
        <v>2E-3</v>
      </c>
      <c r="R126" s="94">
        <v>0</v>
      </c>
      <c r="S126" s="94">
        <v>0</v>
      </c>
      <c r="T126" s="94">
        <v>0</v>
      </c>
      <c r="U126" s="94">
        <v>0</v>
      </c>
      <c r="V126" s="92">
        <f t="shared" si="309"/>
        <v>0.501</v>
      </c>
      <c r="AR126" s="98"/>
    </row>
    <row r="127" spans="2:44" ht="24" customHeight="1" x14ac:dyDescent="0.25">
      <c r="B127" s="61">
        <v>22</v>
      </c>
      <c r="C127" s="63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2">
        <f t="shared" si="309"/>
        <v>0</v>
      </c>
      <c r="AR127" s="98"/>
    </row>
    <row r="128" spans="2:44" ht="24" customHeight="1" x14ac:dyDescent="0.25">
      <c r="B128" s="61">
        <v>23</v>
      </c>
      <c r="C128" s="63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2">
        <f t="shared" si="309"/>
        <v>0</v>
      </c>
      <c r="AR128" s="98"/>
    </row>
    <row r="129" spans="2:44" ht="24" customHeight="1" x14ac:dyDescent="0.25">
      <c r="B129" s="81">
        <v>24</v>
      </c>
      <c r="C129" s="63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2">
        <f t="shared" si="309"/>
        <v>0</v>
      </c>
      <c r="AR129" s="98"/>
    </row>
    <row r="130" spans="2:44" ht="24" customHeight="1" x14ac:dyDescent="0.25">
      <c r="B130" s="61">
        <v>25</v>
      </c>
      <c r="C130" s="63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2">
        <f t="shared" si="309"/>
        <v>0</v>
      </c>
      <c r="AR130" s="98"/>
    </row>
    <row r="131" spans="2:44" ht="24" customHeight="1" x14ac:dyDescent="0.25">
      <c r="B131" s="61">
        <v>26</v>
      </c>
      <c r="C131" s="63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2">
        <f t="shared" si="309"/>
        <v>0</v>
      </c>
      <c r="AR131" s="98"/>
    </row>
    <row r="132" spans="2:44" ht="24" customHeight="1" x14ac:dyDescent="0.25">
      <c r="B132" s="81">
        <v>27</v>
      </c>
      <c r="C132" s="63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2">
        <f t="shared" si="309"/>
        <v>0</v>
      </c>
      <c r="AR132" s="98"/>
    </row>
    <row r="133" spans="2:44" ht="24" customHeight="1" x14ac:dyDescent="0.25">
      <c r="B133" s="61">
        <v>28</v>
      </c>
      <c r="C133" s="63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2">
        <f t="shared" si="309"/>
        <v>0</v>
      </c>
      <c r="AR133" s="98"/>
    </row>
    <row r="134" spans="2:44" ht="24" customHeight="1" x14ac:dyDescent="0.25">
      <c r="B134" s="61">
        <v>29</v>
      </c>
      <c r="C134" s="63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2">
        <f t="shared" si="309"/>
        <v>0</v>
      </c>
      <c r="AR134" s="98"/>
    </row>
    <row r="135" spans="2:44" ht="24" customHeight="1" x14ac:dyDescent="0.25">
      <c r="B135" s="81">
        <v>30</v>
      </c>
      <c r="C135" s="63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2">
        <f t="shared" si="309"/>
        <v>0</v>
      </c>
      <c r="AR135" s="98"/>
    </row>
    <row r="136" spans="2:44" ht="24" customHeight="1" x14ac:dyDescent="0.25">
      <c r="B136" s="724">
        <v>31</v>
      </c>
      <c r="C136" s="68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2">
        <f t="shared" si="309"/>
        <v>0</v>
      </c>
      <c r="AR136" s="98"/>
    </row>
    <row r="137" spans="2:44" ht="24" customHeight="1" x14ac:dyDescent="0.3">
      <c r="B137" s="83" t="s">
        <v>51</v>
      </c>
      <c r="C137" s="84"/>
      <c r="D137" s="59">
        <f t="shared" ref="D137:U137" si="310">SUM(D106:D136)</f>
        <v>4.84</v>
      </c>
      <c r="E137" s="59">
        <f t="shared" si="310"/>
        <v>2.5540000000000003</v>
      </c>
      <c r="F137" s="59">
        <f t="shared" si="310"/>
        <v>1.2370000000000001</v>
      </c>
      <c r="G137" s="59">
        <f t="shared" si="310"/>
        <v>0.90600000000000003</v>
      </c>
      <c r="H137" s="59">
        <f t="shared" si="310"/>
        <v>1.6350000000000002</v>
      </c>
      <c r="I137" s="59">
        <f t="shared" si="310"/>
        <v>0.54100000000000015</v>
      </c>
      <c r="J137" s="59">
        <f t="shared" si="310"/>
        <v>1.2319999999999998</v>
      </c>
      <c r="K137" s="59">
        <f t="shared" si="310"/>
        <v>2.4900000000000002</v>
      </c>
      <c r="L137" s="59">
        <f t="shared" si="310"/>
        <v>3.5270000000000001</v>
      </c>
      <c r="M137" s="59">
        <f t="shared" si="310"/>
        <v>0</v>
      </c>
      <c r="N137" s="59">
        <f t="shared" si="310"/>
        <v>0.25900000000000006</v>
      </c>
      <c r="O137" s="59">
        <f t="shared" si="310"/>
        <v>9.1000000000000011E-2</v>
      </c>
      <c r="P137" s="59">
        <f t="shared" si="310"/>
        <v>0.55500000000000005</v>
      </c>
      <c r="Q137" s="59">
        <f t="shared" si="310"/>
        <v>3.0000000000000001E-3</v>
      </c>
      <c r="R137" s="59">
        <f t="shared" si="310"/>
        <v>0</v>
      </c>
      <c r="S137" s="59">
        <f t="shared" si="310"/>
        <v>0</v>
      </c>
      <c r="T137" s="59">
        <f t="shared" si="310"/>
        <v>0</v>
      </c>
      <c r="U137" s="59">
        <f t="shared" si="310"/>
        <v>0</v>
      </c>
      <c r="V137" s="87">
        <f t="shared" ref="V137" si="311">SUM(V106:V136)</f>
        <v>19.87</v>
      </c>
      <c r="AR137" s="98"/>
    </row>
    <row r="138" spans="2:44" ht="24" customHeight="1" x14ac:dyDescent="0.3">
      <c r="B138" s="47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6"/>
      <c r="AR138" s="98"/>
    </row>
    <row r="139" spans="2:44" x14ac:dyDescent="0.2">
      <c r="AR139" s="98"/>
    </row>
    <row r="140" spans="2:44" ht="18" x14ac:dyDescent="0.25">
      <c r="B140" s="45" t="s">
        <v>172</v>
      </c>
      <c r="C140" s="45"/>
      <c r="D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AR140" s="98"/>
    </row>
    <row r="141" spans="2:44" ht="15.75" x14ac:dyDescent="0.25">
      <c r="B141" s="10" t="s">
        <v>24</v>
      </c>
      <c r="C141" s="8" t="s">
        <v>4</v>
      </c>
      <c r="D141" s="66" t="s">
        <v>5</v>
      </c>
      <c r="E141" s="67" t="s">
        <v>6</v>
      </c>
      <c r="F141" s="67" t="s">
        <v>7</v>
      </c>
      <c r="G141" s="10" t="s">
        <v>153</v>
      </c>
      <c r="H141" s="67" t="s">
        <v>8</v>
      </c>
      <c r="I141" s="67" t="s">
        <v>9</v>
      </c>
      <c r="J141" s="67" t="s">
        <v>10</v>
      </c>
      <c r="K141" s="67" t="s">
        <v>156</v>
      </c>
      <c r="L141" s="8" t="s">
        <v>66</v>
      </c>
      <c r="M141" s="67" t="s">
        <v>12</v>
      </c>
      <c r="N141" s="67" t="s">
        <v>13</v>
      </c>
      <c r="O141" s="67" t="s">
        <v>14</v>
      </c>
      <c r="P141" s="67" t="s">
        <v>15</v>
      </c>
      <c r="Q141" s="67" t="s">
        <v>52</v>
      </c>
      <c r="R141" s="67" t="s">
        <v>17</v>
      </c>
      <c r="S141" s="67" t="s">
        <v>18</v>
      </c>
      <c r="T141" s="67" t="s">
        <v>19</v>
      </c>
      <c r="U141" s="67" t="s">
        <v>20</v>
      </c>
      <c r="V141" s="11" t="s">
        <v>21</v>
      </c>
      <c r="AR141" s="98"/>
    </row>
    <row r="142" spans="2:44" ht="18" x14ac:dyDescent="0.25">
      <c r="B142" s="73"/>
      <c r="C142" s="15" t="s">
        <v>49</v>
      </c>
      <c r="D142" s="75">
        <v>115000</v>
      </c>
      <c r="E142" s="75">
        <v>52375</v>
      </c>
      <c r="F142" s="75">
        <v>24000</v>
      </c>
      <c r="G142" s="75">
        <v>17168</v>
      </c>
      <c r="H142" s="75">
        <v>17100</v>
      </c>
      <c r="I142" s="75">
        <v>13800</v>
      </c>
      <c r="J142" s="75">
        <v>13700</v>
      </c>
      <c r="K142" s="75">
        <v>13500</v>
      </c>
      <c r="L142" s="17">
        <v>4.3</v>
      </c>
      <c r="M142" s="75">
        <v>6800</v>
      </c>
      <c r="N142" s="75">
        <v>3400</v>
      </c>
      <c r="O142" s="75">
        <v>2180</v>
      </c>
      <c r="P142" s="75">
        <v>1690</v>
      </c>
      <c r="Q142" s="75">
        <v>1220</v>
      </c>
      <c r="R142" s="76" t="s">
        <v>53</v>
      </c>
      <c r="S142" s="76" t="s">
        <v>54</v>
      </c>
      <c r="T142" s="76" t="s">
        <v>55</v>
      </c>
      <c r="U142" s="76" t="s">
        <v>56</v>
      </c>
      <c r="V142" s="77"/>
      <c r="AR142" s="98"/>
    </row>
    <row r="143" spans="2:44" ht="18" x14ac:dyDescent="0.25">
      <c r="B143" s="68"/>
      <c r="C143" s="68"/>
      <c r="D143" s="69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8"/>
      <c r="AR143" s="98"/>
    </row>
    <row r="144" spans="2:44" ht="18" x14ac:dyDescent="0.25">
      <c r="B144" s="61">
        <v>1</v>
      </c>
      <c r="C144" s="63"/>
      <c r="D144" s="79">
        <v>3.6</v>
      </c>
      <c r="E144" s="79">
        <v>2.8</v>
      </c>
      <c r="F144" s="79">
        <v>2.1</v>
      </c>
      <c r="G144" s="79">
        <v>3.9</v>
      </c>
      <c r="H144" s="79">
        <v>2.7</v>
      </c>
      <c r="I144" s="79">
        <v>2.5</v>
      </c>
      <c r="J144" s="79">
        <v>2.6</v>
      </c>
      <c r="K144" s="79">
        <v>0.9</v>
      </c>
      <c r="L144" s="517"/>
      <c r="M144" s="517"/>
      <c r="N144" s="79">
        <v>3</v>
      </c>
      <c r="O144" s="79">
        <v>1.7</v>
      </c>
      <c r="P144" s="517"/>
      <c r="Q144" s="517"/>
      <c r="R144" s="517"/>
      <c r="S144" s="517"/>
      <c r="T144" s="79">
        <v>2.2999999999999998</v>
      </c>
      <c r="U144" s="517"/>
      <c r="V144" s="82">
        <f t="shared" ref="V144:V161" si="312">SUM(D144:U144)</f>
        <v>28.1</v>
      </c>
      <c r="AR144" s="98"/>
    </row>
    <row r="145" spans="2:44" ht="18" x14ac:dyDescent="0.25">
      <c r="B145" s="63">
        <v>2</v>
      </c>
      <c r="C145" s="80"/>
      <c r="D145" s="79">
        <v>5.3</v>
      </c>
      <c r="E145" s="79">
        <v>3.1</v>
      </c>
      <c r="F145" s="79">
        <v>2.6</v>
      </c>
      <c r="G145" s="79">
        <v>5.0999999999999996</v>
      </c>
      <c r="H145" s="79">
        <v>2.6</v>
      </c>
      <c r="I145" s="79">
        <v>1.7</v>
      </c>
      <c r="J145" s="79">
        <v>5.0999999999999996</v>
      </c>
      <c r="K145" s="79">
        <v>3</v>
      </c>
      <c r="L145" s="517"/>
      <c r="M145" s="517"/>
      <c r="N145" s="79">
        <v>2.1</v>
      </c>
      <c r="O145" s="79">
        <v>5.0999999999999996</v>
      </c>
      <c r="P145" s="517"/>
      <c r="Q145" s="517"/>
      <c r="R145" s="517"/>
      <c r="S145" s="517"/>
      <c r="T145" s="79">
        <v>2.2999999999999998</v>
      </c>
      <c r="U145" s="79"/>
      <c r="V145" s="82">
        <f t="shared" si="312"/>
        <v>38</v>
      </c>
      <c r="AR145" s="98"/>
    </row>
    <row r="146" spans="2:44" ht="18" x14ac:dyDescent="0.25">
      <c r="B146" s="81">
        <v>3</v>
      </c>
      <c r="C146" s="63"/>
      <c r="D146" s="79"/>
      <c r="E146" s="79"/>
      <c r="F146" s="79"/>
      <c r="G146" s="79"/>
      <c r="H146" s="79"/>
      <c r="I146" s="79"/>
      <c r="J146" s="79"/>
      <c r="K146" s="79"/>
      <c r="L146" s="517"/>
      <c r="M146" s="517"/>
      <c r="N146" s="79"/>
      <c r="O146" s="79"/>
      <c r="P146" s="517"/>
      <c r="Q146" s="517"/>
      <c r="R146" s="517"/>
      <c r="S146" s="517"/>
      <c r="T146" s="79"/>
      <c r="U146" s="79"/>
      <c r="V146" s="82">
        <f t="shared" si="312"/>
        <v>0</v>
      </c>
      <c r="AR146" s="98"/>
    </row>
    <row r="147" spans="2:44" ht="18" x14ac:dyDescent="0.25">
      <c r="B147" s="61">
        <v>4</v>
      </c>
      <c r="C147" s="63"/>
      <c r="D147" s="79"/>
      <c r="E147" s="79"/>
      <c r="F147" s="79"/>
      <c r="G147" s="79"/>
      <c r="H147" s="79"/>
      <c r="I147" s="79"/>
      <c r="J147" s="79"/>
      <c r="K147" s="79"/>
      <c r="L147" s="517"/>
      <c r="M147" s="517"/>
      <c r="N147" s="79"/>
      <c r="O147" s="79"/>
      <c r="P147" s="517"/>
      <c r="Q147" s="517"/>
      <c r="R147" s="517"/>
      <c r="S147" s="517"/>
      <c r="T147" s="79"/>
      <c r="U147" s="517"/>
      <c r="V147" s="82">
        <f t="shared" si="312"/>
        <v>0</v>
      </c>
      <c r="AR147" s="98"/>
    </row>
    <row r="148" spans="2:44" ht="18" x14ac:dyDescent="0.25">
      <c r="B148" s="61">
        <v>5</v>
      </c>
      <c r="C148" s="63"/>
      <c r="D148" s="79">
        <v>7.8</v>
      </c>
      <c r="E148" s="79">
        <v>8.1999999999999993</v>
      </c>
      <c r="F148" s="79">
        <v>5.0999999999999996</v>
      </c>
      <c r="G148" s="79">
        <v>5.3</v>
      </c>
      <c r="H148" s="79">
        <v>5.5</v>
      </c>
      <c r="I148" s="79">
        <v>8.1999999999999993</v>
      </c>
      <c r="J148" s="79">
        <v>3.9</v>
      </c>
      <c r="K148" s="79">
        <v>8.1999999999999993</v>
      </c>
      <c r="L148" s="517"/>
      <c r="M148" s="517"/>
      <c r="N148" s="79">
        <v>6.9</v>
      </c>
      <c r="O148" s="79">
        <v>4.7</v>
      </c>
      <c r="P148" s="517"/>
      <c r="Q148" s="517"/>
      <c r="R148" s="517"/>
      <c r="S148" s="517"/>
      <c r="T148" s="79">
        <v>4.7</v>
      </c>
      <c r="U148" s="517"/>
      <c r="V148" s="82">
        <f t="shared" si="312"/>
        <v>68.5</v>
      </c>
      <c r="AR148" s="98"/>
    </row>
    <row r="149" spans="2:44" ht="18" x14ac:dyDescent="0.25">
      <c r="B149" s="61">
        <v>6</v>
      </c>
      <c r="C149" s="63"/>
      <c r="D149" s="79">
        <v>6.8</v>
      </c>
      <c r="E149" s="79">
        <v>3.6</v>
      </c>
      <c r="F149" s="79">
        <v>3.4</v>
      </c>
      <c r="G149" s="79">
        <v>5.0999999999999996</v>
      </c>
      <c r="H149" s="79">
        <v>5.0999999999999996</v>
      </c>
      <c r="I149" s="79">
        <v>1.2</v>
      </c>
      <c r="J149" s="79">
        <v>2.6</v>
      </c>
      <c r="K149" s="79">
        <v>5.2</v>
      </c>
      <c r="L149" s="517"/>
      <c r="M149" s="517"/>
      <c r="N149" s="79">
        <v>5.5</v>
      </c>
      <c r="O149" s="79">
        <v>6.1</v>
      </c>
      <c r="P149" s="517"/>
      <c r="Q149" s="517"/>
      <c r="R149" s="517"/>
      <c r="S149" s="517"/>
      <c r="T149" s="79">
        <v>2.2999999999999998</v>
      </c>
      <c r="U149" s="517"/>
      <c r="V149" s="82">
        <f t="shared" si="312"/>
        <v>46.9</v>
      </c>
      <c r="AR149" s="98"/>
    </row>
    <row r="150" spans="2:44" ht="18" x14ac:dyDescent="0.25">
      <c r="B150" s="61">
        <v>7</v>
      </c>
      <c r="C150" s="63"/>
      <c r="D150" s="79">
        <v>3.1</v>
      </c>
      <c r="E150" s="79">
        <v>4</v>
      </c>
      <c r="F150" s="79">
        <v>2.6</v>
      </c>
      <c r="G150" s="79">
        <v>4.3</v>
      </c>
      <c r="H150" s="79">
        <v>3</v>
      </c>
      <c r="I150" s="79">
        <v>3.1</v>
      </c>
      <c r="J150" s="79">
        <v>3.8</v>
      </c>
      <c r="K150" s="79">
        <v>0.5</v>
      </c>
      <c r="L150" s="517"/>
      <c r="M150" s="517"/>
      <c r="N150" s="79">
        <v>0.2</v>
      </c>
      <c r="O150" s="79">
        <v>4.3</v>
      </c>
      <c r="P150" s="517"/>
      <c r="Q150" s="517"/>
      <c r="R150" s="517"/>
      <c r="S150" s="517"/>
      <c r="T150" s="79">
        <v>2.6</v>
      </c>
      <c r="U150" s="79"/>
      <c r="V150" s="82">
        <f t="shared" si="312"/>
        <v>31.500000000000004</v>
      </c>
      <c r="AR150" s="98"/>
    </row>
    <row r="151" spans="2:44" ht="18" x14ac:dyDescent="0.25">
      <c r="B151" s="61">
        <v>8</v>
      </c>
      <c r="C151" s="63"/>
      <c r="D151" s="79">
        <v>4.3</v>
      </c>
      <c r="E151" s="79">
        <v>3.8</v>
      </c>
      <c r="F151" s="79">
        <v>2.1</v>
      </c>
      <c r="G151" s="79">
        <v>5.3</v>
      </c>
      <c r="H151" s="79">
        <v>3</v>
      </c>
      <c r="I151" s="79">
        <v>3.3</v>
      </c>
      <c r="J151" s="79">
        <v>3.9</v>
      </c>
      <c r="K151" s="79">
        <v>2.8</v>
      </c>
      <c r="L151" s="517"/>
      <c r="M151" s="517"/>
      <c r="N151" s="79">
        <v>2.2000000000000002</v>
      </c>
      <c r="O151" s="79">
        <v>7.7</v>
      </c>
      <c r="P151" s="517"/>
      <c r="Q151" s="517"/>
      <c r="R151" s="517"/>
      <c r="S151" s="517"/>
      <c r="T151" s="79">
        <v>3.3</v>
      </c>
      <c r="U151" s="79"/>
      <c r="V151" s="82">
        <f t="shared" si="312"/>
        <v>41.699999999999996</v>
      </c>
      <c r="AR151" s="98"/>
    </row>
    <row r="152" spans="2:44" ht="18" x14ac:dyDescent="0.25">
      <c r="B152" s="61">
        <v>9</v>
      </c>
      <c r="C152" s="63"/>
      <c r="D152" s="79"/>
      <c r="E152" s="79"/>
      <c r="F152" s="79"/>
      <c r="G152" s="79"/>
      <c r="H152" s="79"/>
      <c r="I152" s="79"/>
      <c r="J152" s="79"/>
      <c r="K152" s="79"/>
      <c r="L152" s="517"/>
      <c r="M152" s="517"/>
      <c r="N152" s="79"/>
      <c r="O152" s="79"/>
      <c r="P152" s="517"/>
      <c r="Q152" s="517"/>
      <c r="R152" s="517"/>
      <c r="S152" s="517"/>
      <c r="T152" s="79"/>
      <c r="U152" s="79"/>
      <c r="V152" s="82">
        <f t="shared" si="312"/>
        <v>0</v>
      </c>
      <c r="AR152" s="98"/>
    </row>
    <row r="153" spans="2:44" ht="18" x14ac:dyDescent="0.25">
      <c r="B153" s="61">
        <v>10</v>
      </c>
      <c r="C153" s="63"/>
      <c r="D153" s="79"/>
      <c r="E153" s="79"/>
      <c r="F153" s="79"/>
      <c r="G153" s="79"/>
      <c r="H153" s="79"/>
      <c r="I153" s="79"/>
      <c r="J153" s="79"/>
      <c r="K153" s="79"/>
      <c r="L153" s="517"/>
      <c r="M153" s="517"/>
      <c r="N153" s="79"/>
      <c r="O153" s="79"/>
      <c r="P153" s="517"/>
      <c r="Q153" s="517"/>
      <c r="R153" s="517"/>
      <c r="S153" s="517"/>
      <c r="T153" s="79"/>
      <c r="U153" s="79"/>
      <c r="V153" s="82">
        <f t="shared" si="312"/>
        <v>0</v>
      </c>
      <c r="AR153" s="98"/>
    </row>
    <row r="154" spans="2:44" ht="18" x14ac:dyDescent="0.25">
      <c r="B154" s="61">
        <v>11</v>
      </c>
      <c r="C154" s="63"/>
      <c r="D154" s="79"/>
      <c r="E154" s="79"/>
      <c r="F154" s="79"/>
      <c r="G154" s="79"/>
      <c r="H154" s="79"/>
      <c r="I154" s="79"/>
      <c r="J154" s="79"/>
      <c r="K154" s="79"/>
      <c r="L154" s="517"/>
      <c r="M154" s="517"/>
      <c r="N154" s="79"/>
      <c r="O154" s="517"/>
      <c r="P154" s="517"/>
      <c r="Q154" s="517"/>
      <c r="R154" s="517"/>
      <c r="S154" s="517"/>
      <c r="T154" s="79"/>
      <c r="U154" s="79"/>
      <c r="V154" s="82">
        <f t="shared" si="312"/>
        <v>0</v>
      </c>
      <c r="AR154" s="98"/>
    </row>
    <row r="155" spans="2:44" ht="18" x14ac:dyDescent="0.25">
      <c r="B155" s="61">
        <v>12</v>
      </c>
      <c r="C155" s="63"/>
      <c r="D155" s="79"/>
      <c r="E155" s="79"/>
      <c r="F155" s="79"/>
      <c r="G155" s="79"/>
      <c r="H155" s="79"/>
      <c r="I155" s="79"/>
      <c r="J155" s="79"/>
      <c r="K155" s="79"/>
      <c r="L155" s="517"/>
      <c r="M155" s="517"/>
      <c r="N155" s="79"/>
      <c r="O155" s="79"/>
      <c r="P155" s="517"/>
      <c r="Q155" s="517"/>
      <c r="R155" s="517"/>
      <c r="S155" s="517"/>
      <c r="T155" s="79"/>
      <c r="U155" s="79"/>
      <c r="V155" s="82">
        <f t="shared" si="312"/>
        <v>0</v>
      </c>
      <c r="AR155" s="98"/>
    </row>
    <row r="156" spans="2:44" ht="18" x14ac:dyDescent="0.25">
      <c r="B156" s="61">
        <v>13</v>
      </c>
      <c r="C156" s="63"/>
      <c r="D156" s="79">
        <v>29.6</v>
      </c>
      <c r="E156" s="79">
        <v>21.2</v>
      </c>
      <c r="F156" s="79">
        <v>14.5</v>
      </c>
      <c r="G156" s="79">
        <v>35.799999999999997</v>
      </c>
      <c r="H156" s="79">
        <v>19.8</v>
      </c>
      <c r="I156" s="79">
        <v>16.899999999999999</v>
      </c>
      <c r="J156" s="79">
        <v>21.7</v>
      </c>
      <c r="K156" s="79">
        <v>17.7</v>
      </c>
      <c r="L156" s="517"/>
      <c r="M156" s="517"/>
      <c r="N156" s="79">
        <v>17</v>
      </c>
      <c r="O156" s="79">
        <v>38.4</v>
      </c>
      <c r="P156" s="517"/>
      <c r="Q156" s="517"/>
      <c r="R156" s="517"/>
      <c r="S156" s="517"/>
      <c r="T156" s="79">
        <v>10</v>
      </c>
      <c r="U156" s="79"/>
      <c r="V156" s="82">
        <f t="shared" si="312"/>
        <v>242.59999999999997</v>
      </c>
      <c r="AR156" s="98"/>
    </row>
    <row r="157" spans="2:44" ht="18" x14ac:dyDescent="0.25">
      <c r="B157" s="61">
        <v>14</v>
      </c>
      <c r="C157" s="63"/>
      <c r="D157" s="79">
        <v>5.0999999999999996</v>
      </c>
      <c r="E157" s="79">
        <v>4</v>
      </c>
      <c r="F157" s="79">
        <v>1.7</v>
      </c>
      <c r="G157" s="79">
        <v>6.8</v>
      </c>
      <c r="H157" s="79">
        <v>5.0999999999999996</v>
      </c>
      <c r="I157" s="79">
        <v>3.7</v>
      </c>
      <c r="J157" s="79">
        <v>5</v>
      </c>
      <c r="K157" s="79">
        <v>7</v>
      </c>
      <c r="L157" s="517"/>
      <c r="M157" s="517"/>
      <c r="N157" s="79">
        <v>3.1</v>
      </c>
      <c r="O157" s="79">
        <v>3.6</v>
      </c>
      <c r="P157" s="517"/>
      <c r="Q157" s="517"/>
      <c r="R157" s="517"/>
      <c r="S157" s="517"/>
      <c r="T157" s="79">
        <v>3.1</v>
      </c>
      <c r="U157" s="79"/>
      <c r="V157" s="82">
        <f t="shared" si="312"/>
        <v>48.199999999999996</v>
      </c>
      <c r="AR157" s="98"/>
    </row>
    <row r="158" spans="2:44" ht="18" x14ac:dyDescent="0.25">
      <c r="B158" s="61">
        <v>15</v>
      </c>
      <c r="C158" s="63"/>
      <c r="D158" s="79">
        <v>7.7</v>
      </c>
      <c r="E158" s="79">
        <v>4.3</v>
      </c>
      <c r="F158" s="79">
        <v>2.6</v>
      </c>
      <c r="G158" s="79">
        <v>4.3</v>
      </c>
      <c r="H158" s="79">
        <v>5.0999999999999996</v>
      </c>
      <c r="I158" s="79">
        <v>3.7</v>
      </c>
      <c r="J158" s="79">
        <v>5.2</v>
      </c>
      <c r="K158" s="79">
        <v>4.3</v>
      </c>
      <c r="L158" s="517"/>
      <c r="M158" s="517"/>
      <c r="N158" s="79">
        <v>5.0999999999999996</v>
      </c>
      <c r="O158" s="79">
        <v>2.6</v>
      </c>
      <c r="P158" s="517"/>
      <c r="Q158" s="517"/>
      <c r="R158" s="517"/>
      <c r="S158" s="517"/>
      <c r="T158" s="79">
        <v>3.1</v>
      </c>
      <c r="U158" s="79"/>
      <c r="V158" s="82">
        <f t="shared" si="312"/>
        <v>48</v>
      </c>
      <c r="AR158" s="98"/>
    </row>
    <row r="159" spans="2:44" ht="18" x14ac:dyDescent="0.25">
      <c r="B159" s="61">
        <v>16</v>
      </c>
      <c r="C159" s="63"/>
      <c r="D159" s="79">
        <v>9.8000000000000007</v>
      </c>
      <c r="E159" s="79">
        <v>6.3</v>
      </c>
      <c r="F159" s="79">
        <v>3.4</v>
      </c>
      <c r="G159" s="79">
        <v>8.5</v>
      </c>
      <c r="H159" s="79">
        <v>6</v>
      </c>
      <c r="I159" s="79">
        <v>4</v>
      </c>
      <c r="J159" s="79">
        <v>6.3</v>
      </c>
      <c r="K159" s="79">
        <v>9.6999999999999993</v>
      </c>
      <c r="L159" s="79"/>
      <c r="M159" s="79"/>
      <c r="N159" s="79">
        <v>8.5</v>
      </c>
      <c r="O159" s="79">
        <v>6.8</v>
      </c>
      <c r="P159" s="517"/>
      <c r="Q159" s="517"/>
      <c r="R159" s="517"/>
      <c r="S159" s="517"/>
      <c r="T159" s="79">
        <v>3.2</v>
      </c>
      <c r="U159" s="79"/>
      <c r="V159" s="82">
        <f t="shared" si="312"/>
        <v>72.5</v>
      </c>
      <c r="AR159" s="98"/>
    </row>
    <row r="160" spans="2:44" ht="18" x14ac:dyDescent="0.25">
      <c r="B160" s="61">
        <v>17</v>
      </c>
      <c r="C160" s="63"/>
      <c r="D160" s="79"/>
      <c r="E160" s="79"/>
      <c r="F160" s="79"/>
      <c r="G160" s="79"/>
      <c r="H160" s="79"/>
      <c r="I160" s="79"/>
      <c r="J160" s="79"/>
      <c r="K160" s="79"/>
      <c r="L160" s="517"/>
      <c r="M160" s="517"/>
      <c r="N160" s="79"/>
      <c r="O160" s="79"/>
      <c r="P160" s="517"/>
      <c r="Q160" s="517"/>
      <c r="R160" s="517"/>
      <c r="S160" s="517"/>
      <c r="T160" s="79"/>
      <c r="U160" s="79"/>
      <c r="V160" s="82">
        <f t="shared" si="312"/>
        <v>0</v>
      </c>
      <c r="AR160" s="98"/>
    </row>
    <row r="161" spans="2:44" ht="18" x14ac:dyDescent="0.25">
      <c r="B161" s="61">
        <v>18</v>
      </c>
      <c r="C161" s="63"/>
      <c r="D161" s="79"/>
      <c r="E161" s="79"/>
      <c r="F161" s="79"/>
      <c r="G161" s="79"/>
      <c r="H161" s="79"/>
      <c r="I161" s="79"/>
      <c r="J161" s="79"/>
      <c r="K161" s="79"/>
      <c r="L161" s="517"/>
      <c r="M161" s="517"/>
      <c r="N161" s="79"/>
      <c r="O161" s="79"/>
      <c r="P161" s="517"/>
      <c r="Q161" s="517"/>
      <c r="R161" s="517"/>
      <c r="S161" s="517"/>
      <c r="T161" s="79"/>
      <c r="U161" s="517"/>
      <c r="V161" s="82">
        <f t="shared" si="312"/>
        <v>0</v>
      </c>
      <c r="AR161" s="98"/>
    </row>
    <row r="162" spans="2:44" ht="18" x14ac:dyDescent="0.25">
      <c r="B162" s="61">
        <v>19</v>
      </c>
      <c r="C162" s="63"/>
      <c r="D162" s="79">
        <v>17.8</v>
      </c>
      <c r="E162" s="79">
        <v>13.4</v>
      </c>
      <c r="F162" s="79">
        <v>6.8</v>
      </c>
      <c r="G162" s="79">
        <v>11.7</v>
      </c>
      <c r="H162" s="79">
        <v>12</v>
      </c>
      <c r="I162" s="79">
        <v>9.1999999999999993</v>
      </c>
      <c r="J162" s="79">
        <v>11.3</v>
      </c>
      <c r="K162" s="79">
        <v>9.5</v>
      </c>
      <c r="L162" s="517"/>
      <c r="M162" s="517"/>
      <c r="N162" s="79">
        <v>8.1999999999999993</v>
      </c>
      <c r="O162" s="79">
        <v>7.7</v>
      </c>
      <c r="P162" s="517"/>
      <c r="Q162" s="517"/>
      <c r="R162" s="517"/>
      <c r="S162" s="517"/>
      <c r="T162" s="79">
        <v>10</v>
      </c>
      <c r="U162" s="517"/>
      <c r="V162" s="82">
        <f>SUM(D162:U162)</f>
        <v>117.60000000000001</v>
      </c>
      <c r="AR162" s="98"/>
    </row>
    <row r="163" spans="2:44" ht="18" x14ac:dyDescent="0.25">
      <c r="B163" s="61">
        <v>20</v>
      </c>
      <c r="C163" s="63"/>
      <c r="D163" s="79">
        <v>8.5</v>
      </c>
      <c r="E163" s="79">
        <v>6.7</v>
      </c>
      <c r="F163" s="79">
        <v>5.0999999999999996</v>
      </c>
      <c r="G163" s="79">
        <v>5.0999999999999996</v>
      </c>
      <c r="H163" s="517">
        <v>4</v>
      </c>
      <c r="I163" s="517">
        <v>4</v>
      </c>
      <c r="J163" s="517">
        <v>5</v>
      </c>
      <c r="K163" s="79">
        <v>6</v>
      </c>
      <c r="L163" s="517"/>
      <c r="M163" s="517"/>
      <c r="N163" s="79">
        <v>5.5</v>
      </c>
      <c r="O163" s="79">
        <v>6</v>
      </c>
      <c r="P163" s="517"/>
      <c r="Q163" s="517"/>
      <c r="R163" s="517"/>
      <c r="S163" s="517"/>
      <c r="T163" s="79">
        <v>2.6</v>
      </c>
      <c r="U163" s="79"/>
      <c r="V163" s="82">
        <f>SUM(D163:U163)</f>
        <v>58.5</v>
      </c>
      <c r="AR163" s="98"/>
    </row>
    <row r="164" spans="2:44" ht="18" x14ac:dyDescent="0.25">
      <c r="B164" s="61">
        <v>21</v>
      </c>
      <c r="C164" s="63"/>
      <c r="D164" s="79">
        <v>7.3</v>
      </c>
      <c r="E164" s="517">
        <v>5</v>
      </c>
      <c r="F164" s="79">
        <v>5.0999999999999996</v>
      </c>
      <c r="G164" s="79">
        <v>6</v>
      </c>
      <c r="H164" s="517">
        <v>4</v>
      </c>
      <c r="I164" s="517">
        <v>4</v>
      </c>
      <c r="J164" s="517">
        <v>5</v>
      </c>
      <c r="K164" s="79">
        <v>5.0999999999999996</v>
      </c>
      <c r="L164" s="517"/>
      <c r="M164" s="517"/>
      <c r="N164" s="79">
        <v>5</v>
      </c>
      <c r="O164" s="79">
        <v>2.6</v>
      </c>
      <c r="P164" s="517"/>
      <c r="Q164" s="517"/>
      <c r="R164" s="517"/>
      <c r="S164" s="517"/>
      <c r="T164" s="517">
        <v>3</v>
      </c>
      <c r="U164" s="79"/>
      <c r="V164" s="82">
        <f>SUM(D164:U164)</f>
        <v>52.1</v>
      </c>
      <c r="AR164" s="98"/>
    </row>
    <row r="165" spans="2:44" ht="18" x14ac:dyDescent="0.25">
      <c r="B165" s="61">
        <v>22</v>
      </c>
      <c r="C165" s="63"/>
      <c r="D165" s="79">
        <v>7.3</v>
      </c>
      <c r="E165" s="517">
        <v>5</v>
      </c>
      <c r="F165" s="79">
        <v>5.0999999999999996</v>
      </c>
      <c r="G165" s="79">
        <v>6</v>
      </c>
      <c r="H165" s="517">
        <v>4</v>
      </c>
      <c r="I165" s="517">
        <v>4</v>
      </c>
      <c r="J165" s="517">
        <v>5</v>
      </c>
      <c r="K165" s="79">
        <v>5.0999999999999996</v>
      </c>
      <c r="L165" s="517"/>
      <c r="M165" s="517"/>
      <c r="N165" s="79">
        <v>5</v>
      </c>
      <c r="O165" s="79">
        <v>2.6</v>
      </c>
      <c r="P165" s="517"/>
      <c r="Q165" s="517"/>
      <c r="R165" s="517"/>
      <c r="S165" s="517"/>
      <c r="T165" s="517">
        <v>3</v>
      </c>
      <c r="U165" s="79"/>
      <c r="V165" s="82">
        <f t="shared" ref="V165:V174" si="313">SUM(D165:U165)</f>
        <v>52.1</v>
      </c>
      <c r="AR165" s="98"/>
    </row>
    <row r="166" spans="2:44" ht="18" x14ac:dyDescent="0.25">
      <c r="B166" s="61">
        <v>23</v>
      </c>
      <c r="C166" s="63"/>
      <c r="D166" s="79"/>
      <c r="E166" s="79"/>
      <c r="F166" s="79"/>
      <c r="G166" s="79"/>
      <c r="H166" s="79"/>
      <c r="I166" s="79"/>
      <c r="J166" s="79"/>
      <c r="K166" s="79"/>
      <c r="L166" s="517"/>
      <c r="M166" s="517"/>
      <c r="N166" s="79"/>
      <c r="O166" s="79"/>
      <c r="P166" s="517"/>
      <c r="Q166" s="517"/>
      <c r="R166" s="517"/>
      <c r="S166" s="517"/>
      <c r="T166" s="79"/>
      <c r="U166" s="79"/>
      <c r="V166" s="82">
        <f t="shared" si="313"/>
        <v>0</v>
      </c>
      <c r="AR166" s="98"/>
    </row>
    <row r="167" spans="2:44" ht="18" x14ac:dyDescent="0.25">
      <c r="B167" s="61">
        <v>24</v>
      </c>
      <c r="C167" s="63"/>
      <c r="D167" s="79"/>
      <c r="E167" s="79"/>
      <c r="F167" s="79"/>
      <c r="G167" s="79"/>
      <c r="H167" s="79"/>
      <c r="I167" s="79"/>
      <c r="J167" s="79"/>
      <c r="K167" s="79"/>
      <c r="L167" s="517"/>
      <c r="M167" s="517"/>
      <c r="N167" s="79"/>
      <c r="O167" s="79"/>
      <c r="P167" s="517"/>
      <c r="Q167" s="517"/>
      <c r="R167" s="517"/>
      <c r="S167" s="517"/>
      <c r="T167" s="79"/>
      <c r="U167" s="79"/>
      <c r="V167" s="82">
        <f t="shared" si="313"/>
        <v>0</v>
      </c>
      <c r="AR167" s="98"/>
    </row>
    <row r="168" spans="2:44" ht="18" x14ac:dyDescent="0.25">
      <c r="B168" s="61">
        <v>25</v>
      </c>
      <c r="C168" s="63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517"/>
      <c r="Q168" s="517"/>
      <c r="R168" s="517"/>
      <c r="S168" s="517"/>
      <c r="T168" s="79"/>
      <c r="U168" s="517"/>
      <c r="V168" s="82">
        <f t="shared" si="313"/>
        <v>0</v>
      </c>
      <c r="AR168" s="98"/>
    </row>
    <row r="169" spans="2:44" ht="18" x14ac:dyDescent="0.25">
      <c r="B169" s="61">
        <v>26</v>
      </c>
      <c r="C169" s="63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517"/>
      <c r="Q169" s="517"/>
      <c r="R169" s="517"/>
      <c r="S169" s="517"/>
      <c r="T169" s="79"/>
      <c r="U169" s="79"/>
      <c r="V169" s="82">
        <f t="shared" si="313"/>
        <v>0</v>
      </c>
      <c r="AR169" s="98"/>
    </row>
    <row r="170" spans="2:44" ht="18" x14ac:dyDescent="0.25">
      <c r="B170" s="61">
        <v>27</v>
      </c>
      <c r="C170" s="63"/>
      <c r="D170" s="79"/>
      <c r="E170" s="79"/>
      <c r="F170" s="79"/>
      <c r="G170" s="79"/>
      <c r="H170" s="79"/>
      <c r="I170" s="79"/>
      <c r="J170" s="79"/>
      <c r="K170" s="79"/>
      <c r="L170" s="517"/>
      <c r="M170" s="517"/>
      <c r="N170" s="79"/>
      <c r="O170" s="79"/>
      <c r="P170" s="517"/>
      <c r="Q170" s="517"/>
      <c r="R170" s="517"/>
      <c r="S170" s="517"/>
      <c r="T170" s="79"/>
      <c r="U170" s="79"/>
      <c r="V170" s="82">
        <f t="shared" si="313"/>
        <v>0</v>
      </c>
      <c r="AR170" s="98"/>
    </row>
    <row r="171" spans="2:44" ht="18" x14ac:dyDescent="0.25">
      <c r="B171" s="61">
        <v>28</v>
      </c>
      <c r="C171" s="63"/>
      <c r="D171" s="79"/>
      <c r="E171" s="79"/>
      <c r="F171" s="79"/>
      <c r="G171" s="79"/>
      <c r="H171" s="79"/>
      <c r="I171" s="79"/>
      <c r="J171" s="79"/>
      <c r="K171" s="79"/>
      <c r="L171" s="517"/>
      <c r="M171" s="517"/>
      <c r="N171" s="79"/>
      <c r="O171" s="79"/>
      <c r="P171" s="79"/>
      <c r="Q171" s="79"/>
      <c r="R171" s="79"/>
      <c r="S171" s="79"/>
      <c r="T171" s="79"/>
      <c r="U171" s="79"/>
      <c r="V171" s="82">
        <f t="shared" si="313"/>
        <v>0</v>
      </c>
      <c r="AR171" s="98"/>
    </row>
    <row r="172" spans="2:44" ht="18" x14ac:dyDescent="0.25">
      <c r="B172" s="61">
        <v>29</v>
      </c>
      <c r="C172" s="63"/>
      <c r="D172" s="79"/>
      <c r="E172" s="79"/>
      <c r="F172" s="79"/>
      <c r="G172" s="79"/>
      <c r="H172" s="79"/>
      <c r="I172" s="79"/>
      <c r="J172" s="79"/>
      <c r="K172" s="79"/>
      <c r="L172" s="517"/>
      <c r="M172" s="517"/>
      <c r="N172" s="79"/>
      <c r="O172" s="79"/>
      <c r="P172" s="517"/>
      <c r="Q172" s="517"/>
      <c r="R172" s="517"/>
      <c r="S172" s="517"/>
      <c r="T172" s="79"/>
      <c r="U172" s="517"/>
      <c r="V172" s="82">
        <f t="shared" si="313"/>
        <v>0</v>
      </c>
      <c r="AR172" s="98"/>
    </row>
    <row r="173" spans="2:44" ht="18" x14ac:dyDescent="0.25">
      <c r="B173" s="61">
        <v>30</v>
      </c>
      <c r="C173" s="63"/>
      <c r="D173" s="79"/>
      <c r="E173" s="79"/>
      <c r="F173" s="79"/>
      <c r="G173" s="79"/>
      <c r="H173" s="79"/>
      <c r="I173" s="79"/>
      <c r="J173" s="79"/>
      <c r="K173" s="79"/>
      <c r="L173" s="517"/>
      <c r="M173" s="517"/>
      <c r="N173" s="79"/>
      <c r="O173" s="79"/>
      <c r="P173" s="517"/>
      <c r="Q173" s="517"/>
      <c r="R173" s="517"/>
      <c r="S173" s="517"/>
      <c r="T173" s="517"/>
      <c r="U173" s="517"/>
      <c r="V173" s="82">
        <f t="shared" si="313"/>
        <v>0</v>
      </c>
      <c r="AR173" s="98"/>
    </row>
    <row r="174" spans="2:44" ht="18" x14ac:dyDescent="0.25">
      <c r="B174" s="725">
        <v>31</v>
      </c>
      <c r="C174" s="68"/>
      <c r="D174" s="79"/>
      <c r="E174" s="79"/>
      <c r="F174" s="79"/>
      <c r="G174" s="79"/>
      <c r="H174" s="79"/>
      <c r="I174" s="79"/>
      <c r="J174" s="79"/>
      <c r="K174" s="79"/>
      <c r="L174" s="517"/>
      <c r="M174" s="517"/>
      <c r="N174" s="79"/>
      <c r="O174" s="79"/>
      <c r="P174" s="517"/>
      <c r="Q174" s="517"/>
      <c r="R174" s="517"/>
      <c r="S174" s="517"/>
      <c r="T174" s="517"/>
      <c r="U174" s="595"/>
      <c r="V174" s="82">
        <f t="shared" si="313"/>
        <v>0</v>
      </c>
      <c r="AR174" s="98"/>
    </row>
    <row r="175" spans="2:44" ht="18" x14ac:dyDescent="0.25">
      <c r="B175" s="83" t="s">
        <v>51</v>
      </c>
      <c r="C175" s="84"/>
      <c r="D175" s="85">
        <f>SUM(D144:D174)</f>
        <v>123.99999999999999</v>
      </c>
      <c r="E175" s="85">
        <f t="shared" ref="E175:U175" si="314">SUM(E144:E174)</f>
        <v>91.4</v>
      </c>
      <c r="F175" s="85">
        <f t="shared" si="314"/>
        <v>62.20000000000001</v>
      </c>
      <c r="G175" s="85">
        <f t="shared" si="314"/>
        <v>113.19999999999999</v>
      </c>
      <c r="H175" s="85">
        <f t="shared" si="314"/>
        <v>81.900000000000006</v>
      </c>
      <c r="I175" s="85">
        <f t="shared" si="314"/>
        <v>69.5</v>
      </c>
      <c r="J175" s="85">
        <f t="shared" si="314"/>
        <v>86.399999999999991</v>
      </c>
      <c r="K175" s="85">
        <f t="shared" si="314"/>
        <v>84.999999999999986</v>
      </c>
      <c r="L175" s="85">
        <f t="shared" si="314"/>
        <v>0</v>
      </c>
      <c r="M175" s="85">
        <f t="shared" si="314"/>
        <v>0</v>
      </c>
      <c r="N175" s="85">
        <f t="shared" si="314"/>
        <v>77.3</v>
      </c>
      <c r="O175" s="85">
        <f t="shared" si="314"/>
        <v>99.899999999999977</v>
      </c>
      <c r="P175" s="85">
        <f t="shared" si="314"/>
        <v>0</v>
      </c>
      <c r="Q175" s="85">
        <f t="shared" si="314"/>
        <v>0</v>
      </c>
      <c r="R175" s="85">
        <f t="shared" si="314"/>
        <v>0</v>
      </c>
      <c r="S175" s="85">
        <f t="shared" si="314"/>
        <v>0</v>
      </c>
      <c r="T175" s="85">
        <f t="shared" si="314"/>
        <v>55.500000000000007</v>
      </c>
      <c r="U175" s="85">
        <f t="shared" si="314"/>
        <v>0</v>
      </c>
      <c r="V175" s="86">
        <f>SUM(V144:V174)</f>
        <v>946.30000000000007</v>
      </c>
      <c r="AR175" s="98"/>
    </row>
    <row r="176" spans="2:44" ht="18" x14ac:dyDescent="0.25">
      <c r="B176" s="83" t="s">
        <v>63</v>
      </c>
      <c r="C176" s="84"/>
      <c r="D176" s="87">
        <f t="shared" ref="D176:U176" si="315">SUM(AVERAGE(D8:D37))</f>
        <v>38.338799999999999</v>
      </c>
      <c r="E176" s="87">
        <f t="shared" si="315"/>
        <v>19.416266666666669</v>
      </c>
      <c r="F176" s="87">
        <f t="shared" si="315"/>
        <v>10.3666</v>
      </c>
      <c r="G176" s="87">
        <f t="shared" si="315"/>
        <v>8.0920666666666659</v>
      </c>
      <c r="H176" s="87">
        <f t="shared" si="315"/>
        <v>2.9126000000000003</v>
      </c>
      <c r="I176" s="87">
        <f t="shared" si="315"/>
        <v>2.2573333333333334</v>
      </c>
      <c r="J176" s="87">
        <f t="shared" si="315"/>
        <v>5.2320000000000002</v>
      </c>
      <c r="K176" s="87">
        <f t="shared" si="315"/>
        <v>6.2021333333333333</v>
      </c>
      <c r="L176" s="87">
        <f t="shared" si="315"/>
        <v>1.7931999999999999</v>
      </c>
      <c r="M176" s="87">
        <f t="shared" si="315"/>
        <v>0.14673333333333333</v>
      </c>
      <c r="N176" s="87">
        <f t="shared" si="315"/>
        <v>1.8523333333333334</v>
      </c>
      <c r="O176" s="87">
        <f t="shared" si="315"/>
        <v>1.8800666666666668</v>
      </c>
      <c r="P176" s="87">
        <f t="shared" si="315"/>
        <v>1.4040000000000001</v>
      </c>
      <c r="Q176" s="87">
        <f t="shared" si="315"/>
        <v>1.4292666666666665</v>
      </c>
      <c r="R176" s="87">
        <f t="shared" si="315"/>
        <v>0.9900000000000001</v>
      </c>
      <c r="S176" s="87">
        <f t="shared" si="315"/>
        <v>0.85999999999999988</v>
      </c>
      <c r="T176" s="87">
        <f t="shared" si="315"/>
        <v>0.36299999999999988</v>
      </c>
      <c r="U176" s="87">
        <f t="shared" si="315"/>
        <v>0.29799999999999999</v>
      </c>
      <c r="V176" s="87">
        <f>SUM(D176:U176)</f>
        <v>103.83439999999999</v>
      </c>
      <c r="AR176" s="98"/>
    </row>
    <row r="177" spans="2:44" x14ac:dyDescent="0.2">
      <c r="AR177" s="98"/>
    </row>
    <row r="178" spans="2:44" x14ac:dyDescent="0.2">
      <c r="AR178" s="98"/>
    </row>
    <row r="179" spans="2:44" ht="18" x14ac:dyDescent="0.25">
      <c r="B179" s="45" t="s">
        <v>155</v>
      </c>
      <c r="C179" s="45"/>
      <c r="D179" s="44"/>
      <c r="E179" s="44"/>
      <c r="F179" s="450" t="str">
        <f>M2</f>
        <v>APR 2026</v>
      </c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 t="s">
        <v>2</v>
      </c>
      <c r="U179" s="44" t="s">
        <v>48</v>
      </c>
      <c r="V179" s="44"/>
      <c r="AR179" s="98"/>
    </row>
    <row r="180" spans="2:44" ht="18" x14ac:dyDescent="0.25">
      <c r="B180" s="64" t="s">
        <v>24</v>
      </c>
      <c r="C180" s="65" t="s">
        <v>4</v>
      </c>
      <c r="D180" s="66" t="s">
        <v>5</v>
      </c>
      <c r="E180" s="67" t="s">
        <v>6</v>
      </c>
      <c r="F180" s="67" t="s">
        <v>7</v>
      </c>
      <c r="G180" s="10" t="s">
        <v>130</v>
      </c>
      <c r="H180" s="67" t="s">
        <v>8</v>
      </c>
      <c r="I180" s="67" t="s">
        <v>9</v>
      </c>
      <c r="J180" s="67" t="s">
        <v>10</v>
      </c>
      <c r="K180" s="67" t="s">
        <v>11</v>
      </c>
      <c r="L180" s="8" t="s">
        <v>66</v>
      </c>
      <c r="M180" s="67" t="s">
        <v>12</v>
      </c>
      <c r="N180" s="67" t="s">
        <v>13</v>
      </c>
      <c r="O180" s="67" t="s">
        <v>14</v>
      </c>
      <c r="P180" s="67" t="s">
        <v>15</v>
      </c>
      <c r="Q180" s="67" t="s">
        <v>52</v>
      </c>
      <c r="R180" s="67" t="s">
        <v>17</v>
      </c>
      <c r="S180" s="67" t="s">
        <v>18</v>
      </c>
      <c r="T180" s="67" t="s">
        <v>19</v>
      </c>
      <c r="U180" s="67" t="s">
        <v>20</v>
      </c>
      <c r="V180" s="11" t="s">
        <v>21</v>
      </c>
      <c r="AR180" s="98"/>
    </row>
    <row r="181" spans="2:44" ht="24.95" customHeight="1" x14ac:dyDescent="0.25">
      <c r="B181" s="73"/>
      <c r="C181" s="74" t="s">
        <v>49</v>
      </c>
      <c r="D181" s="170">
        <v>115</v>
      </c>
      <c r="E181" s="62">
        <v>52.375</v>
      </c>
      <c r="F181" s="62">
        <v>24</v>
      </c>
      <c r="G181" s="17">
        <v>17.167999999999999</v>
      </c>
      <c r="H181" s="75">
        <v>17100</v>
      </c>
      <c r="I181" s="75">
        <v>13800</v>
      </c>
      <c r="J181" s="75">
        <v>13700</v>
      </c>
      <c r="K181" s="75">
        <v>13500</v>
      </c>
      <c r="L181" s="17">
        <v>4.3</v>
      </c>
      <c r="M181" s="75">
        <v>6800</v>
      </c>
      <c r="N181" s="75">
        <v>3400</v>
      </c>
      <c r="O181" s="75">
        <v>2180</v>
      </c>
      <c r="P181" s="75">
        <v>1690</v>
      </c>
      <c r="Q181" s="75">
        <v>1220</v>
      </c>
      <c r="R181" s="76" t="s">
        <v>53</v>
      </c>
      <c r="S181" s="76" t="s">
        <v>54</v>
      </c>
      <c r="T181" s="76" t="s">
        <v>55</v>
      </c>
      <c r="U181" s="76" t="s">
        <v>56</v>
      </c>
      <c r="V181" s="77" t="s">
        <v>26</v>
      </c>
      <c r="AR181" s="98"/>
    </row>
    <row r="182" spans="2:44" ht="18" customHeight="1" x14ac:dyDescent="0.25">
      <c r="B182" s="68"/>
      <c r="C182" s="68"/>
      <c r="D182" s="69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8"/>
      <c r="AR182" s="98"/>
    </row>
    <row r="183" spans="2:44" ht="18" customHeight="1" x14ac:dyDescent="0.25">
      <c r="B183" s="61">
        <v>1</v>
      </c>
      <c r="C183" s="63"/>
      <c r="D183" s="504">
        <f t="shared" ref="D183:F186" si="316">BK9*D144*0.8/1000/1000000</f>
        <v>4.2107479879249588E-3</v>
      </c>
      <c r="E183" s="504">
        <f t="shared" si="316"/>
        <v>2.8919295304265366E-3</v>
      </c>
      <c r="F183" s="504">
        <f t="shared" si="316"/>
        <v>1.1002929729792019E-3</v>
      </c>
      <c r="G183" s="544">
        <f t="shared" ref="G183:G189" si="317">F183*0.7</f>
        <v>7.7020508108544125E-4</v>
      </c>
      <c r="H183" s="504">
        <f t="shared" ref="H183:U183" si="318">BN9*H144*0.8/1000/1000000</f>
        <v>5.0730629291999665E-4</v>
      </c>
      <c r="I183" s="504">
        <f t="shared" si="318"/>
        <v>3.6842808851837743E-4</v>
      </c>
      <c r="J183" s="504">
        <f t="shared" si="318"/>
        <v>9.0160310520077025E-4</v>
      </c>
      <c r="K183" s="504">
        <f t="shared" si="318"/>
        <v>3.920961945600002E-4</v>
      </c>
      <c r="L183" s="504">
        <f t="shared" si="318"/>
        <v>0</v>
      </c>
      <c r="M183" s="504">
        <f t="shared" si="318"/>
        <v>0</v>
      </c>
      <c r="N183" s="504">
        <f t="shared" si="318"/>
        <v>4.2952853645699979E-4</v>
      </c>
      <c r="O183" s="504">
        <f t="shared" si="318"/>
        <v>2.1399813017898851E-4</v>
      </c>
      <c r="P183" s="504">
        <f t="shared" si="318"/>
        <v>0</v>
      </c>
      <c r="Q183" s="504">
        <f t="shared" si="318"/>
        <v>0</v>
      </c>
      <c r="R183" s="504">
        <f t="shared" si="318"/>
        <v>0</v>
      </c>
      <c r="S183" s="504">
        <f t="shared" si="318"/>
        <v>0</v>
      </c>
      <c r="T183" s="504">
        <f t="shared" si="318"/>
        <v>5.9972698719983599E-5</v>
      </c>
      <c r="U183" s="504">
        <f t="shared" si="318"/>
        <v>0</v>
      </c>
      <c r="V183" s="92">
        <f t="shared" ref="V183:V193" si="319">SUM(D183:U183)</f>
        <v>1.1846108618971255E-2</v>
      </c>
      <c r="AR183" s="98"/>
    </row>
    <row r="184" spans="2:44" ht="18" customHeight="1" x14ac:dyDescent="0.25">
      <c r="B184" s="63">
        <v>2</v>
      </c>
      <c r="C184" s="80"/>
      <c r="D184" s="504">
        <f t="shared" si="316"/>
        <v>6.2661540121683942E-3</v>
      </c>
      <c r="E184" s="504">
        <f t="shared" si="316"/>
        <v>3.216937583804899E-3</v>
      </c>
      <c r="F184" s="504">
        <f t="shared" si="316"/>
        <v>1.3691230047729512E-3</v>
      </c>
      <c r="G184" s="544">
        <f>F184*0.7</f>
        <v>9.5838610334106583E-4</v>
      </c>
      <c r="H184" s="504">
        <f t="shared" ref="H184:H213" si="320">BN10*H145*0.8/1000/1000000</f>
        <v>5.074988592856009E-4</v>
      </c>
      <c r="I184" s="504">
        <f>BO10*I145*0.8/1000/1000000</f>
        <v>2.565664652785124E-4</v>
      </c>
      <c r="J184" s="504">
        <f>BP10*J145*0.8/1000/1000000</f>
        <v>1.794268892843827E-3</v>
      </c>
      <c r="K184" s="504">
        <f>BQ10*K145*0.8/1000/1000000</f>
        <v>1.3548149999999988E-3</v>
      </c>
      <c r="L184" s="504">
        <f>BR10*L145*0.8/1000/1000000</f>
        <v>0</v>
      </c>
      <c r="M184" s="504">
        <f>BS10*M145*0.8/1000/1000000</f>
        <v>0</v>
      </c>
      <c r="N184" s="504">
        <f t="shared" ref="N184:N213" si="321">BT10*N145*0.8/1000/1000000</f>
        <v>3.0272807651573715E-4</v>
      </c>
      <c r="O184" s="504">
        <f t="shared" ref="O184:U184" si="322">BU10*O145*0.8/1000/1000000</f>
        <v>6.4527192171335082E-4</v>
      </c>
      <c r="P184" s="504">
        <f t="shared" si="322"/>
        <v>0</v>
      </c>
      <c r="Q184" s="504">
        <f t="shared" si="322"/>
        <v>0</v>
      </c>
      <c r="R184" s="504">
        <f t="shared" si="322"/>
        <v>0</v>
      </c>
      <c r="S184" s="504">
        <f t="shared" si="322"/>
        <v>0</v>
      </c>
      <c r="T184" s="504">
        <f t="shared" si="322"/>
        <v>5.9972698719983599E-5</v>
      </c>
      <c r="U184" s="504">
        <f t="shared" si="322"/>
        <v>0</v>
      </c>
      <c r="V184" s="92">
        <f t="shared" si="319"/>
        <v>1.6731722618444321E-2</v>
      </c>
      <c r="AR184" s="98"/>
    </row>
    <row r="185" spans="2:44" ht="18" customHeight="1" x14ac:dyDescent="0.25">
      <c r="B185" s="81">
        <v>3</v>
      </c>
      <c r="C185" s="63"/>
      <c r="D185" s="504">
        <f t="shared" si="316"/>
        <v>0</v>
      </c>
      <c r="E185" s="504">
        <f t="shared" si="316"/>
        <v>0</v>
      </c>
      <c r="F185" s="504">
        <f t="shared" si="316"/>
        <v>0</v>
      </c>
      <c r="G185" s="544">
        <f>F185*0.9</f>
        <v>0</v>
      </c>
      <c r="H185" s="504">
        <f t="shared" si="320"/>
        <v>0</v>
      </c>
      <c r="I185" s="504">
        <f t="shared" ref="I185:I213" si="323">BO11*I146*0.8/1000/1000000</f>
        <v>0</v>
      </c>
      <c r="J185" s="504">
        <f t="shared" ref="J185:J213" si="324">BP11*J146*0.8/1000/1000000</f>
        <v>0</v>
      </c>
      <c r="K185" s="504">
        <f t="shared" ref="K185:K213" si="325">BQ11*K146*0.8/1000/1000000</f>
        <v>0</v>
      </c>
      <c r="L185" s="504">
        <f t="shared" ref="L185:L213" si="326">BR11*L146*0.8/1000/1000000</f>
        <v>0</v>
      </c>
      <c r="M185" s="504">
        <f t="shared" ref="M185:M213" si="327">BS11*M146*0.8/1000/1000000</f>
        <v>0</v>
      </c>
      <c r="N185" s="504">
        <f t="shared" si="321"/>
        <v>0</v>
      </c>
      <c r="O185" s="504">
        <f t="shared" ref="O185:U185" si="328">BU11*O146*0.8/1000/1000000</f>
        <v>0</v>
      </c>
      <c r="P185" s="504">
        <f t="shared" si="328"/>
        <v>0</v>
      </c>
      <c r="Q185" s="504">
        <f t="shared" si="328"/>
        <v>0</v>
      </c>
      <c r="R185" s="504">
        <f t="shared" si="328"/>
        <v>0</v>
      </c>
      <c r="S185" s="504">
        <f t="shared" si="328"/>
        <v>0</v>
      </c>
      <c r="T185" s="504">
        <f t="shared" si="328"/>
        <v>0</v>
      </c>
      <c r="U185" s="504">
        <f t="shared" si="328"/>
        <v>0</v>
      </c>
      <c r="V185" s="92">
        <f t="shared" si="319"/>
        <v>0</v>
      </c>
      <c r="AR185" s="98"/>
    </row>
    <row r="186" spans="2:44" ht="18" customHeight="1" x14ac:dyDescent="0.25">
      <c r="B186" s="61">
        <v>4</v>
      </c>
      <c r="C186" s="63"/>
      <c r="D186" s="504">
        <f t="shared" si="316"/>
        <v>0</v>
      </c>
      <c r="E186" s="504">
        <f t="shared" si="316"/>
        <v>0</v>
      </c>
      <c r="F186" s="504">
        <f t="shared" si="316"/>
        <v>0</v>
      </c>
      <c r="G186" s="544">
        <f>F186*0.8</f>
        <v>0</v>
      </c>
      <c r="H186" s="504">
        <f t="shared" si="320"/>
        <v>0</v>
      </c>
      <c r="I186" s="504">
        <f t="shared" si="323"/>
        <v>0</v>
      </c>
      <c r="J186" s="504">
        <f t="shared" si="324"/>
        <v>0</v>
      </c>
      <c r="K186" s="504">
        <f t="shared" si="325"/>
        <v>0</v>
      </c>
      <c r="L186" s="504">
        <f t="shared" si="326"/>
        <v>0</v>
      </c>
      <c r="M186" s="504">
        <f t="shared" si="327"/>
        <v>0</v>
      </c>
      <c r="N186" s="504">
        <f t="shared" si="321"/>
        <v>0</v>
      </c>
      <c r="O186" s="504">
        <f t="shared" ref="O186:U186" si="329">BU12*O147*0.8/1000/1000000</f>
        <v>0</v>
      </c>
      <c r="P186" s="504">
        <f t="shared" si="329"/>
        <v>0</v>
      </c>
      <c r="Q186" s="504">
        <f t="shared" si="329"/>
        <v>0</v>
      </c>
      <c r="R186" s="504">
        <f t="shared" si="329"/>
        <v>0</v>
      </c>
      <c r="S186" s="504">
        <f t="shared" si="329"/>
        <v>0</v>
      </c>
      <c r="T186" s="504">
        <f t="shared" si="329"/>
        <v>0</v>
      </c>
      <c r="U186" s="504">
        <f t="shared" si="329"/>
        <v>0</v>
      </c>
      <c r="V186" s="92">
        <f t="shared" si="319"/>
        <v>0</v>
      </c>
      <c r="AR186" s="98"/>
    </row>
    <row r="187" spans="2:44" ht="18" customHeight="1" x14ac:dyDescent="0.25">
      <c r="B187" s="61">
        <v>5</v>
      </c>
      <c r="C187" s="63"/>
      <c r="D187" s="504">
        <f t="shared" ref="D187:F188" si="330">BK13*D148*0.8/1000/1000000</f>
        <v>9.4289422570639145E-3</v>
      </c>
      <c r="E187" s="504">
        <f t="shared" si="330"/>
        <v>8.6632787275495084E-3</v>
      </c>
      <c r="F187" s="504">
        <f t="shared" si="330"/>
        <v>2.7262169806523567E-3</v>
      </c>
      <c r="G187" s="544">
        <f t="shared" si="317"/>
        <v>1.9083518864566496E-3</v>
      </c>
      <c r="H187" s="504">
        <f t="shared" si="320"/>
        <v>1.1484410783779953E-3</v>
      </c>
      <c r="I187" s="504">
        <f t="shared" si="323"/>
        <v>1.2914789975039863E-3</v>
      </c>
      <c r="J187" s="504">
        <f t="shared" si="324"/>
        <v>1.4256355796342425E-3</v>
      </c>
      <c r="K187" s="504">
        <f t="shared" si="325"/>
        <v>3.9288378051199916E-3</v>
      </c>
      <c r="L187" s="504">
        <f t="shared" si="326"/>
        <v>0</v>
      </c>
      <c r="M187" s="504">
        <f t="shared" si="327"/>
        <v>0</v>
      </c>
      <c r="N187" s="504">
        <f t="shared" si="321"/>
        <v>1.0090459888358724E-3</v>
      </c>
      <c r="O187" s="504">
        <f t="shared" ref="O187:U187" si="331">BU13*O148*0.8/1000/1000000</f>
        <v>6.0039888593489904E-4</v>
      </c>
      <c r="P187" s="504">
        <f t="shared" si="331"/>
        <v>0</v>
      </c>
      <c r="Q187" s="504">
        <f t="shared" si="331"/>
        <v>0</v>
      </c>
      <c r="R187" s="504">
        <f t="shared" si="331"/>
        <v>0</v>
      </c>
      <c r="S187" s="504">
        <f t="shared" si="331"/>
        <v>0</v>
      </c>
      <c r="T187" s="504">
        <f t="shared" si="331"/>
        <v>1.2255290607996648E-4</v>
      </c>
      <c r="U187" s="504">
        <f t="shared" si="331"/>
        <v>0</v>
      </c>
      <c r="V187" s="92">
        <f t="shared" si="319"/>
        <v>3.2253181093209383E-2</v>
      </c>
      <c r="AR187" s="98"/>
    </row>
    <row r="188" spans="2:44" ht="18" customHeight="1" x14ac:dyDescent="0.25">
      <c r="B188" s="61">
        <v>6</v>
      </c>
      <c r="C188" s="63"/>
      <c r="D188" s="504">
        <f t="shared" si="330"/>
        <v>8.2916065010616036E-3</v>
      </c>
      <c r="E188" s="504">
        <f t="shared" ref="E188:E213" si="332">BL14*E149*0.8/1000/1000000</f>
        <v>3.8228148673962164E-3</v>
      </c>
      <c r="F188" s="504">
        <f t="shared" si="330"/>
        <v>1.8265706606158071E-3</v>
      </c>
      <c r="G188" s="544">
        <f>F188*0.9</f>
        <v>1.6439135945542265E-3</v>
      </c>
      <c r="H188" s="504">
        <f t="shared" si="320"/>
        <v>1.1098195328271287E-3</v>
      </c>
      <c r="I188" s="504">
        <f t="shared" si="323"/>
        <v>1.9063699990055861E-4</v>
      </c>
      <c r="J188" s="504">
        <f t="shared" si="324"/>
        <v>9.6269249811904278E-4</v>
      </c>
      <c r="K188" s="504">
        <f t="shared" si="325"/>
        <v>2.5469895859200043E-3</v>
      </c>
      <c r="L188" s="504">
        <f t="shared" si="326"/>
        <v>0</v>
      </c>
      <c r="M188" s="504">
        <f t="shared" si="327"/>
        <v>0</v>
      </c>
      <c r="N188" s="504">
        <f t="shared" si="321"/>
        <v>8.1464367670400217E-4</v>
      </c>
      <c r="O188" s="504">
        <f t="shared" ref="O188:U188" si="333">BU14*O149*0.8/1000/1000000</f>
        <v>7.9059571518689913E-4</v>
      </c>
      <c r="P188" s="504">
        <f t="shared" si="333"/>
        <v>0</v>
      </c>
      <c r="Q188" s="504">
        <f t="shared" si="333"/>
        <v>0</v>
      </c>
      <c r="R188" s="504">
        <f t="shared" si="333"/>
        <v>0</v>
      </c>
      <c r="S188" s="504">
        <f t="shared" si="333"/>
        <v>0</v>
      </c>
      <c r="T188" s="504">
        <f t="shared" si="333"/>
        <v>5.9972698719983599E-5</v>
      </c>
      <c r="U188" s="504">
        <f t="shared" si="333"/>
        <v>0</v>
      </c>
      <c r="V188" s="92">
        <f t="shared" si="319"/>
        <v>2.2060256331005473E-2</v>
      </c>
      <c r="AR188" s="98"/>
    </row>
    <row r="189" spans="2:44" ht="18" customHeight="1" x14ac:dyDescent="0.25">
      <c r="B189" s="61">
        <v>7</v>
      </c>
      <c r="C189" s="63"/>
      <c r="D189" s="504">
        <f t="shared" ref="D189:D213" si="334">BK15*D150*0.8/1000/1000000</f>
        <v>3.8106477117003869E-3</v>
      </c>
      <c r="E189" s="504">
        <f t="shared" si="332"/>
        <v>4.2656004066970888E-3</v>
      </c>
      <c r="F189" s="504">
        <f t="shared" ref="F189:F213" si="335">BM15*F150*0.8/1000/1000000</f>
        <v>1.4031316352949989E-3</v>
      </c>
      <c r="G189" s="544">
        <f t="shared" si="317"/>
        <v>9.8219214470649917E-4</v>
      </c>
      <c r="H189" s="504">
        <f t="shared" si="320"/>
        <v>6.7503138700800017E-4</v>
      </c>
      <c r="I189" s="504">
        <f t="shared" si="323"/>
        <v>4.9616410648023359E-4</v>
      </c>
      <c r="J189" s="504">
        <f t="shared" si="324"/>
        <v>1.4232563341975617E-3</v>
      </c>
      <c r="K189" s="504">
        <f t="shared" si="325"/>
        <v>2.5014190079999981E-4</v>
      </c>
      <c r="L189" s="504">
        <f t="shared" si="326"/>
        <v>0</v>
      </c>
      <c r="M189" s="504">
        <f t="shared" si="327"/>
        <v>0</v>
      </c>
      <c r="N189" s="504">
        <f t="shared" si="321"/>
        <v>2.9801209295769607E-5</v>
      </c>
      <c r="O189" s="504">
        <f t="shared" ref="O189:U189" si="336">BU15*O150*0.8/1000/1000000</f>
        <v>5.6281977576689928E-4</v>
      </c>
      <c r="P189" s="504">
        <f t="shared" si="336"/>
        <v>0</v>
      </c>
      <c r="Q189" s="504">
        <f t="shared" si="336"/>
        <v>0</v>
      </c>
      <c r="R189" s="504">
        <f t="shared" si="336"/>
        <v>0</v>
      </c>
      <c r="S189" s="504">
        <f t="shared" si="336"/>
        <v>0</v>
      </c>
      <c r="T189" s="504">
        <f t="shared" si="336"/>
        <v>6.7795224639981459E-5</v>
      </c>
      <c r="U189" s="504">
        <f t="shared" si="336"/>
        <v>0</v>
      </c>
      <c r="V189" s="92">
        <f t="shared" si="319"/>
        <v>1.3966581836587416E-2</v>
      </c>
      <c r="AR189" s="98"/>
    </row>
    <row r="190" spans="2:44" ht="18" customHeight="1" x14ac:dyDescent="0.25">
      <c r="B190" s="61">
        <v>8</v>
      </c>
      <c r="C190" s="63"/>
      <c r="D190" s="504">
        <f t="shared" si="334"/>
        <v>5.3196061326560972E-3</v>
      </c>
      <c r="E190" s="504">
        <f t="shared" si="332"/>
        <v>4.0677665600832328E-3</v>
      </c>
      <c r="F190" s="504">
        <f t="shared" si="335"/>
        <v>1.1389523563931565E-3</v>
      </c>
      <c r="G190" s="544">
        <f>F190*0.7</f>
        <v>7.9726664947520943E-4</v>
      </c>
      <c r="H190" s="504">
        <f t="shared" si="320"/>
        <v>6.8583002542799631E-4</v>
      </c>
      <c r="I190" s="504">
        <f t="shared" si="323"/>
        <v>5.3180749632382712E-4</v>
      </c>
      <c r="J190" s="504">
        <f t="shared" si="324"/>
        <v>1.4765506307354507E-3</v>
      </c>
      <c r="K190" s="504">
        <f t="shared" si="325"/>
        <v>1.4215668499199989E-3</v>
      </c>
      <c r="L190" s="504">
        <f t="shared" si="326"/>
        <v>0</v>
      </c>
      <c r="M190" s="504">
        <f t="shared" si="327"/>
        <v>0</v>
      </c>
      <c r="N190" s="504">
        <f t="shared" si="321"/>
        <v>3.2928481992088282E-4</v>
      </c>
      <c r="O190" s="504">
        <f t="shared" ref="O190:U190" si="337">BU16*O151*0.8/1000/1000000</f>
        <v>1.011787530445754E-3</v>
      </c>
      <c r="P190" s="504">
        <f t="shared" si="337"/>
        <v>0</v>
      </c>
      <c r="Q190" s="504">
        <f t="shared" si="337"/>
        <v>0</v>
      </c>
      <c r="R190" s="504">
        <f t="shared" si="337"/>
        <v>0</v>
      </c>
      <c r="S190" s="504">
        <f t="shared" si="337"/>
        <v>0</v>
      </c>
      <c r="T190" s="504">
        <f t="shared" si="337"/>
        <v>8.6047785119976463E-5</v>
      </c>
      <c r="U190" s="504">
        <f t="shared" si="337"/>
        <v>0</v>
      </c>
      <c r="V190" s="92">
        <f t="shared" si="319"/>
        <v>1.686646683650158E-2</v>
      </c>
      <c r="AR190" s="98"/>
    </row>
    <row r="191" spans="2:44" ht="18" customHeight="1" x14ac:dyDescent="0.25">
      <c r="B191" s="61">
        <v>9</v>
      </c>
      <c r="C191" s="63"/>
      <c r="D191" s="504">
        <f t="shared" si="334"/>
        <v>0</v>
      </c>
      <c r="E191" s="504">
        <f t="shared" si="332"/>
        <v>0</v>
      </c>
      <c r="F191" s="504">
        <f t="shared" si="335"/>
        <v>0</v>
      </c>
      <c r="G191" s="544">
        <f>F191*0.7</f>
        <v>0</v>
      </c>
      <c r="H191" s="504">
        <f t="shared" si="320"/>
        <v>0</v>
      </c>
      <c r="I191" s="504">
        <f t="shared" si="323"/>
        <v>0</v>
      </c>
      <c r="J191" s="504">
        <f t="shared" si="324"/>
        <v>0</v>
      </c>
      <c r="K191" s="504">
        <f t="shared" si="325"/>
        <v>0</v>
      </c>
      <c r="L191" s="504">
        <f t="shared" si="326"/>
        <v>0</v>
      </c>
      <c r="M191" s="504">
        <f t="shared" si="327"/>
        <v>0</v>
      </c>
      <c r="N191" s="504">
        <f t="shared" si="321"/>
        <v>0</v>
      </c>
      <c r="O191" s="504">
        <f t="shared" ref="O191:U191" si="338">BU17*O152*0.8/1000/1000000</f>
        <v>0</v>
      </c>
      <c r="P191" s="504">
        <f t="shared" si="338"/>
        <v>0</v>
      </c>
      <c r="Q191" s="504">
        <f t="shared" si="338"/>
        <v>0</v>
      </c>
      <c r="R191" s="504">
        <f t="shared" si="338"/>
        <v>0</v>
      </c>
      <c r="S191" s="504">
        <f t="shared" si="338"/>
        <v>0</v>
      </c>
      <c r="T191" s="504">
        <f t="shared" si="338"/>
        <v>0</v>
      </c>
      <c r="U191" s="504">
        <f t="shared" si="338"/>
        <v>0</v>
      </c>
      <c r="V191" s="92">
        <f t="shared" si="319"/>
        <v>0</v>
      </c>
      <c r="AR191" s="98"/>
    </row>
    <row r="192" spans="2:44" ht="18" customHeight="1" x14ac:dyDescent="0.25">
      <c r="B192" s="61">
        <v>10</v>
      </c>
      <c r="C192" s="63"/>
      <c r="D192" s="504">
        <f t="shared" si="334"/>
        <v>0</v>
      </c>
      <c r="E192" s="504">
        <f t="shared" si="332"/>
        <v>0</v>
      </c>
      <c r="F192" s="504">
        <f t="shared" si="335"/>
        <v>0</v>
      </c>
      <c r="G192" s="544">
        <f>F192*0.7</f>
        <v>0</v>
      </c>
      <c r="H192" s="504">
        <f t="shared" si="320"/>
        <v>0</v>
      </c>
      <c r="I192" s="504">
        <f t="shared" si="323"/>
        <v>0</v>
      </c>
      <c r="J192" s="504">
        <f t="shared" si="324"/>
        <v>0</v>
      </c>
      <c r="K192" s="504">
        <f t="shared" si="325"/>
        <v>0</v>
      </c>
      <c r="L192" s="504">
        <f t="shared" si="326"/>
        <v>0</v>
      </c>
      <c r="M192" s="504">
        <f t="shared" si="327"/>
        <v>0</v>
      </c>
      <c r="N192" s="504">
        <f t="shared" si="321"/>
        <v>0</v>
      </c>
      <c r="O192" s="504">
        <f t="shared" ref="O192:U192" si="339">BU18*O153*0.8/1000/1000000</f>
        <v>0</v>
      </c>
      <c r="P192" s="504">
        <f t="shared" si="339"/>
        <v>0</v>
      </c>
      <c r="Q192" s="504">
        <f t="shared" si="339"/>
        <v>0</v>
      </c>
      <c r="R192" s="504">
        <f t="shared" si="339"/>
        <v>0</v>
      </c>
      <c r="S192" s="504">
        <f t="shared" si="339"/>
        <v>0</v>
      </c>
      <c r="T192" s="504">
        <f t="shared" si="339"/>
        <v>0</v>
      </c>
      <c r="U192" s="504">
        <f t="shared" si="339"/>
        <v>0</v>
      </c>
      <c r="V192" s="92">
        <f t="shared" si="319"/>
        <v>0</v>
      </c>
      <c r="AR192" s="98"/>
    </row>
    <row r="193" spans="1:44" ht="18" customHeight="1" x14ac:dyDescent="0.25">
      <c r="B193" s="61">
        <v>11</v>
      </c>
      <c r="C193" s="63"/>
      <c r="D193" s="504">
        <f t="shared" si="334"/>
        <v>0</v>
      </c>
      <c r="E193" s="504">
        <f t="shared" si="332"/>
        <v>0</v>
      </c>
      <c r="F193" s="504">
        <f t="shared" si="335"/>
        <v>0</v>
      </c>
      <c r="G193" s="544">
        <f t="shared" ref="G193:G195" si="340">F193*0.7</f>
        <v>0</v>
      </c>
      <c r="H193" s="504">
        <f t="shared" si="320"/>
        <v>0</v>
      </c>
      <c r="I193" s="504">
        <f t="shared" si="323"/>
        <v>0</v>
      </c>
      <c r="J193" s="504">
        <f t="shared" si="324"/>
        <v>0</v>
      </c>
      <c r="K193" s="504">
        <f t="shared" si="325"/>
        <v>0</v>
      </c>
      <c r="L193" s="504">
        <f t="shared" si="326"/>
        <v>0</v>
      </c>
      <c r="M193" s="504">
        <f t="shared" si="327"/>
        <v>0</v>
      </c>
      <c r="N193" s="504">
        <f t="shared" si="321"/>
        <v>0</v>
      </c>
      <c r="O193" s="504">
        <f t="shared" ref="O193:U193" si="341">BU19*O154*0.8/1000/1000000</f>
        <v>0</v>
      </c>
      <c r="P193" s="504">
        <f t="shared" si="341"/>
        <v>0</v>
      </c>
      <c r="Q193" s="504">
        <f t="shared" si="341"/>
        <v>0</v>
      </c>
      <c r="R193" s="504">
        <f t="shared" si="341"/>
        <v>0</v>
      </c>
      <c r="S193" s="504">
        <f t="shared" si="341"/>
        <v>0</v>
      </c>
      <c r="T193" s="504">
        <f t="shared" si="341"/>
        <v>0</v>
      </c>
      <c r="U193" s="504">
        <f t="shared" si="341"/>
        <v>0</v>
      </c>
      <c r="V193" s="92">
        <f t="shared" si="319"/>
        <v>0</v>
      </c>
      <c r="AR193" s="98"/>
    </row>
    <row r="194" spans="1:44" ht="18" customHeight="1" x14ac:dyDescent="0.25">
      <c r="B194" s="61">
        <v>12</v>
      </c>
      <c r="C194" s="63"/>
      <c r="D194" s="504">
        <f t="shared" si="334"/>
        <v>0</v>
      </c>
      <c r="E194" s="504">
        <f t="shared" si="332"/>
        <v>0</v>
      </c>
      <c r="F194" s="504">
        <f t="shared" si="335"/>
        <v>0</v>
      </c>
      <c r="G194" s="544">
        <f t="shared" si="340"/>
        <v>0</v>
      </c>
      <c r="H194" s="504">
        <f t="shared" si="320"/>
        <v>0</v>
      </c>
      <c r="I194" s="504">
        <f t="shared" si="323"/>
        <v>0</v>
      </c>
      <c r="J194" s="504">
        <f t="shared" si="324"/>
        <v>0</v>
      </c>
      <c r="K194" s="504">
        <f t="shared" si="325"/>
        <v>0</v>
      </c>
      <c r="L194" s="504">
        <f t="shared" si="326"/>
        <v>0</v>
      </c>
      <c r="M194" s="504">
        <f t="shared" si="327"/>
        <v>0</v>
      </c>
      <c r="N194" s="504">
        <f t="shared" si="321"/>
        <v>0</v>
      </c>
      <c r="O194" s="504">
        <f t="shared" ref="O194:U194" si="342">BU20*O155*0.8/1000/1000000</f>
        <v>0</v>
      </c>
      <c r="P194" s="504">
        <f t="shared" si="342"/>
        <v>0</v>
      </c>
      <c r="Q194" s="504">
        <f t="shared" si="342"/>
        <v>0</v>
      </c>
      <c r="R194" s="504">
        <f t="shared" si="342"/>
        <v>0</v>
      </c>
      <c r="S194" s="504">
        <f t="shared" si="342"/>
        <v>0</v>
      </c>
      <c r="T194" s="504">
        <f t="shared" si="342"/>
        <v>0</v>
      </c>
      <c r="U194" s="504">
        <f t="shared" si="342"/>
        <v>0</v>
      </c>
      <c r="V194" s="92">
        <f t="shared" ref="V194:V202" si="343">SUM(D194:U194)</f>
        <v>0</v>
      </c>
      <c r="AR194" s="98"/>
    </row>
    <row r="195" spans="1:44" ht="18" customHeight="1" x14ac:dyDescent="0.25">
      <c r="B195" s="61">
        <v>13</v>
      </c>
      <c r="C195" s="63"/>
      <c r="D195" s="504">
        <f t="shared" si="334"/>
        <v>3.7622370746628095E-2</v>
      </c>
      <c r="E195" s="504">
        <f t="shared" si="332"/>
        <v>2.301128693495124E-2</v>
      </c>
      <c r="F195" s="504">
        <f t="shared" si="335"/>
        <v>7.9785334706825445E-3</v>
      </c>
      <c r="G195" s="544">
        <f t="shared" si="340"/>
        <v>5.5849734294777806E-3</v>
      </c>
      <c r="H195" s="504">
        <f t="shared" si="320"/>
        <v>4.8761738523432005E-3</v>
      </c>
      <c r="I195" s="504">
        <f t="shared" si="323"/>
        <v>2.7937742428510073E-3</v>
      </c>
      <c r="J195" s="504">
        <f t="shared" si="324"/>
        <v>8.5573907660349592E-3</v>
      </c>
      <c r="K195" s="504">
        <f t="shared" si="325"/>
        <v>9.4588001659200067E-3</v>
      </c>
      <c r="L195" s="504">
        <f t="shared" si="326"/>
        <v>0</v>
      </c>
      <c r="M195" s="504">
        <f t="shared" si="327"/>
        <v>0</v>
      </c>
      <c r="N195" s="504">
        <f t="shared" si="321"/>
        <v>2.5845138959070036E-3</v>
      </c>
      <c r="O195" s="504">
        <f t="shared" ref="O195:U195" si="344">BU21*O156*0.8/1000/1000000</f>
        <v>5.1121789018963573E-3</v>
      </c>
      <c r="P195" s="504">
        <f t="shared" si="344"/>
        <v>0</v>
      </c>
      <c r="Q195" s="504">
        <f t="shared" si="344"/>
        <v>0</v>
      </c>
      <c r="R195" s="504">
        <f t="shared" si="344"/>
        <v>0</v>
      </c>
      <c r="S195" s="504">
        <f t="shared" si="344"/>
        <v>0</v>
      </c>
      <c r="T195" s="504">
        <f t="shared" si="344"/>
        <v>2.6075086399992875E-4</v>
      </c>
      <c r="U195" s="504">
        <f t="shared" si="344"/>
        <v>0</v>
      </c>
      <c r="V195" s="92">
        <f t="shared" si="343"/>
        <v>0.10784074727069212</v>
      </c>
      <c r="AR195" s="98"/>
    </row>
    <row r="196" spans="1:44" ht="18" customHeight="1" x14ac:dyDescent="0.25">
      <c r="B196" s="61">
        <v>14</v>
      </c>
      <c r="C196" s="63"/>
      <c r="D196" s="504">
        <f t="shared" si="334"/>
        <v>6.5107407433110265E-3</v>
      </c>
      <c r="E196" s="504">
        <f t="shared" si="332"/>
        <v>4.3490417492936025E-3</v>
      </c>
      <c r="F196" s="504">
        <f t="shared" si="335"/>
        <v>9.3836467769750111E-4</v>
      </c>
      <c r="G196" s="544">
        <f>F196*0.9</f>
        <v>8.4452820992775106E-4</v>
      </c>
      <c r="H196" s="504">
        <f t="shared" si="320"/>
        <v>1.2659364840293718E-3</v>
      </c>
      <c r="I196" s="504">
        <f t="shared" si="323"/>
        <v>6.1406385973916428E-4</v>
      </c>
      <c r="J196" s="504">
        <f t="shared" si="324"/>
        <v>1.9815586839827372E-3</v>
      </c>
      <c r="K196" s="504">
        <f t="shared" si="325"/>
        <v>3.7690567487999966E-3</v>
      </c>
      <c r="L196" s="504">
        <f t="shared" si="326"/>
        <v>0</v>
      </c>
      <c r="M196" s="504">
        <f t="shared" si="327"/>
        <v>0</v>
      </c>
      <c r="N196" s="504">
        <f t="shared" si="321"/>
        <v>4.7164311556259757E-4</v>
      </c>
      <c r="O196" s="504">
        <f t="shared" ref="O196:U196" si="345">BU22*O157*0.8/1000/1000000</f>
        <v>4.8156932906680413E-4</v>
      </c>
      <c r="P196" s="504">
        <f t="shared" si="345"/>
        <v>0</v>
      </c>
      <c r="Q196" s="504">
        <f t="shared" si="345"/>
        <v>0</v>
      </c>
      <c r="R196" s="504">
        <f t="shared" si="345"/>
        <v>0</v>
      </c>
      <c r="S196" s="504">
        <f t="shared" si="345"/>
        <v>0</v>
      </c>
      <c r="T196" s="504">
        <f t="shared" si="345"/>
        <v>8.0832767839977908E-5</v>
      </c>
      <c r="U196" s="504">
        <f t="shared" si="345"/>
        <v>0</v>
      </c>
      <c r="V196" s="92">
        <f t="shared" si="343"/>
        <v>2.1307336369250533E-2</v>
      </c>
      <c r="AR196" s="98"/>
    </row>
    <row r="197" spans="1:44" ht="18" x14ac:dyDescent="0.25">
      <c r="B197" s="61">
        <v>15</v>
      </c>
      <c r="C197" s="63"/>
      <c r="D197" s="504">
        <f t="shared" si="334"/>
        <v>9.8649989849761439E-3</v>
      </c>
      <c r="E197" s="504">
        <f t="shared" si="332"/>
        <v>4.6850249679869947E-3</v>
      </c>
      <c r="F197" s="504">
        <f t="shared" si="335"/>
        <v>1.4390216133927962E-3</v>
      </c>
      <c r="G197" s="544">
        <f>F197*0.9</f>
        <v>1.2951194520535165E-3</v>
      </c>
      <c r="H197" s="504">
        <f t="shared" si="320"/>
        <v>1.2790083812915904E-3</v>
      </c>
      <c r="I197" s="504">
        <f t="shared" si="323"/>
        <v>6.1682237973598663E-4</v>
      </c>
      <c r="J197" s="504">
        <f t="shared" si="324"/>
        <v>2.0710502368005809E-3</v>
      </c>
      <c r="K197" s="504">
        <f t="shared" si="325"/>
        <v>2.3327364119999994E-3</v>
      </c>
      <c r="L197" s="504">
        <f t="shared" si="326"/>
        <v>0</v>
      </c>
      <c r="M197" s="504">
        <f t="shared" si="327"/>
        <v>0</v>
      </c>
      <c r="N197" s="504">
        <f t="shared" si="321"/>
        <v>7.7823087630719942E-4</v>
      </c>
      <c r="O197" s="504">
        <f t="shared" ref="O197:U197" si="346">BU23*O158*0.8/1000/1000000</f>
        <v>3.4979430778839151E-4</v>
      </c>
      <c r="P197" s="504">
        <f t="shared" si="346"/>
        <v>0</v>
      </c>
      <c r="Q197" s="504">
        <f t="shared" si="346"/>
        <v>0</v>
      </c>
      <c r="R197" s="504">
        <f t="shared" si="346"/>
        <v>0</v>
      </c>
      <c r="S197" s="504">
        <f t="shared" si="346"/>
        <v>0</v>
      </c>
      <c r="T197" s="504">
        <f t="shared" si="346"/>
        <v>8.0832767839977908E-5</v>
      </c>
      <c r="U197" s="504">
        <f t="shared" si="346"/>
        <v>0</v>
      </c>
      <c r="V197" s="92">
        <f t="shared" si="343"/>
        <v>2.4792640380173175E-2</v>
      </c>
      <c r="AR197" s="98"/>
    </row>
    <row r="198" spans="1:44" ht="18" x14ac:dyDescent="0.25">
      <c r="B198" s="61">
        <v>16</v>
      </c>
      <c r="C198" s="63"/>
      <c r="D198" s="504">
        <f t="shared" si="334"/>
        <v>1.2603613352377169E-2</v>
      </c>
      <c r="E198" s="504">
        <f t="shared" si="332"/>
        <v>6.8784879871509217E-3</v>
      </c>
      <c r="F198" s="504">
        <f t="shared" si="335"/>
        <v>1.886875137035515E-3</v>
      </c>
      <c r="G198" s="544">
        <f>F198*0.7</f>
        <v>1.3208125959248604E-3</v>
      </c>
      <c r="H198" s="504">
        <f t="shared" si="320"/>
        <v>1.5183486747839972E-3</v>
      </c>
      <c r="I198" s="504">
        <f t="shared" si="323"/>
        <v>6.6944934689915786E-4</v>
      </c>
      <c r="J198" s="504">
        <f t="shared" si="324"/>
        <v>2.5215829983163216E-3</v>
      </c>
      <c r="K198" s="504">
        <f t="shared" si="325"/>
        <v>5.3017869516799971E-3</v>
      </c>
      <c r="L198" s="504">
        <f t="shared" si="326"/>
        <v>0</v>
      </c>
      <c r="M198" s="504">
        <f t="shared" si="327"/>
        <v>0</v>
      </c>
      <c r="N198" s="504">
        <f t="shared" si="321"/>
        <v>1.301856677562501E-3</v>
      </c>
      <c r="O198" s="504">
        <f t="shared" ref="O198:U198" si="347">BU24*O159*0.8/1000/1000000</f>
        <v>9.1614996701648132E-4</v>
      </c>
      <c r="P198" s="504">
        <f t="shared" si="347"/>
        <v>0</v>
      </c>
      <c r="Q198" s="504">
        <f t="shared" si="347"/>
        <v>0</v>
      </c>
      <c r="R198" s="504">
        <f t="shared" si="347"/>
        <v>0</v>
      </c>
      <c r="S198" s="504">
        <f t="shared" si="347"/>
        <v>0</v>
      </c>
      <c r="T198" s="504">
        <f t="shared" si="347"/>
        <v>8.3440276479977192E-5</v>
      </c>
      <c r="U198" s="504">
        <f t="shared" si="347"/>
        <v>0</v>
      </c>
      <c r="V198" s="92">
        <f t="shared" si="343"/>
        <v>3.5002403965226893E-2</v>
      </c>
      <c r="AR198" s="98"/>
    </row>
    <row r="199" spans="1:44" ht="18" x14ac:dyDescent="0.25">
      <c r="A199" s="5" t="s">
        <v>0</v>
      </c>
      <c r="B199" s="61">
        <v>17</v>
      </c>
      <c r="C199" s="63"/>
      <c r="D199" s="504">
        <f t="shared" si="334"/>
        <v>0</v>
      </c>
      <c r="E199" s="504">
        <f t="shared" si="332"/>
        <v>0</v>
      </c>
      <c r="F199" s="504">
        <f t="shared" si="335"/>
        <v>0</v>
      </c>
      <c r="G199" s="544">
        <f>F199*0.7</f>
        <v>0</v>
      </c>
      <c r="H199" s="504">
        <f t="shared" si="320"/>
        <v>0</v>
      </c>
      <c r="I199" s="504">
        <f t="shared" si="323"/>
        <v>0</v>
      </c>
      <c r="J199" s="504">
        <f t="shared" si="324"/>
        <v>0</v>
      </c>
      <c r="K199" s="504">
        <f t="shared" si="325"/>
        <v>0</v>
      </c>
      <c r="L199" s="504">
        <f t="shared" si="326"/>
        <v>0</v>
      </c>
      <c r="M199" s="504">
        <f t="shared" si="327"/>
        <v>0</v>
      </c>
      <c r="N199" s="504">
        <f t="shared" si="321"/>
        <v>0</v>
      </c>
      <c r="O199" s="504">
        <f t="shared" ref="O199:U199" si="348">BU25*O160*0.8/1000/1000000</f>
        <v>0</v>
      </c>
      <c r="P199" s="504">
        <f t="shared" si="348"/>
        <v>0</v>
      </c>
      <c r="Q199" s="504">
        <f t="shared" si="348"/>
        <v>0</v>
      </c>
      <c r="R199" s="504">
        <f t="shared" si="348"/>
        <v>0</v>
      </c>
      <c r="S199" s="504">
        <f t="shared" si="348"/>
        <v>0</v>
      </c>
      <c r="T199" s="504">
        <f t="shared" si="348"/>
        <v>0</v>
      </c>
      <c r="U199" s="504">
        <f t="shared" si="348"/>
        <v>0</v>
      </c>
      <c r="V199" s="92">
        <f t="shared" si="343"/>
        <v>0</v>
      </c>
      <c r="AR199" s="98"/>
    </row>
    <row r="200" spans="1:44" ht="18" x14ac:dyDescent="0.25">
      <c r="B200" s="61">
        <v>18</v>
      </c>
      <c r="C200" s="63"/>
      <c r="D200" s="504">
        <f t="shared" si="334"/>
        <v>0</v>
      </c>
      <c r="E200" s="504">
        <f t="shared" si="332"/>
        <v>0</v>
      </c>
      <c r="F200" s="504">
        <f t="shared" si="335"/>
        <v>0</v>
      </c>
      <c r="G200" s="544">
        <f>F200*0.7</f>
        <v>0</v>
      </c>
      <c r="H200" s="504">
        <f t="shared" si="320"/>
        <v>0</v>
      </c>
      <c r="I200" s="504">
        <f t="shared" si="323"/>
        <v>0</v>
      </c>
      <c r="J200" s="504">
        <f t="shared" si="324"/>
        <v>0</v>
      </c>
      <c r="K200" s="504">
        <f t="shared" si="325"/>
        <v>0</v>
      </c>
      <c r="L200" s="504">
        <f t="shared" si="326"/>
        <v>0</v>
      </c>
      <c r="M200" s="504">
        <f t="shared" si="327"/>
        <v>0</v>
      </c>
      <c r="N200" s="504">
        <f t="shared" si="321"/>
        <v>0</v>
      </c>
      <c r="O200" s="504">
        <f t="shared" ref="O200:U200" si="349">BU26*O161*0.8/1000/1000000</f>
        <v>0</v>
      </c>
      <c r="P200" s="504">
        <f t="shared" si="349"/>
        <v>0</v>
      </c>
      <c r="Q200" s="504">
        <f t="shared" si="349"/>
        <v>0</v>
      </c>
      <c r="R200" s="504">
        <f t="shared" si="349"/>
        <v>0</v>
      </c>
      <c r="S200" s="504">
        <f t="shared" si="349"/>
        <v>0</v>
      </c>
      <c r="T200" s="504">
        <f t="shared" si="349"/>
        <v>0</v>
      </c>
      <c r="U200" s="504">
        <f t="shared" si="349"/>
        <v>0</v>
      </c>
      <c r="V200" s="92">
        <f t="shared" si="343"/>
        <v>0</v>
      </c>
      <c r="AR200" s="98"/>
    </row>
    <row r="201" spans="1:44" ht="18" x14ac:dyDescent="0.25">
      <c r="B201" s="61">
        <v>19</v>
      </c>
      <c r="C201" s="63"/>
      <c r="D201" s="504">
        <f t="shared" si="334"/>
        <v>2.3446874526654452E-2</v>
      </c>
      <c r="E201" s="504">
        <f t="shared" si="332"/>
        <v>1.4759286024814773E-2</v>
      </c>
      <c r="F201" s="504">
        <f t="shared" si="335"/>
        <v>3.804330172348408E-3</v>
      </c>
      <c r="G201" s="544">
        <f t="shared" ref="G201:G206" si="350">F201*0.7</f>
        <v>2.6630311206438852E-3</v>
      </c>
      <c r="H201" s="504">
        <f t="shared" si="320"/>
        <v>3.1358401205452678E-3</v>
      </c>
      <c r="I201" s="504">
        <f t="shared" si="323"/>
        <v>1.5552440673939892E-3</v>
      </c>
      <c r="J201" s="504">
        <f t="shared" si="324"/>
        <v>4.5900570748050058E-3</v>
      </c>
      <c r="K201" s="504">
        <f t="shared" si="325"/>
        <v>5.3098085368000056E-3</v>
      </c>
      <c r="L201" s="504">
        <f t="shared" si="326"/>
        <v>0</v>
      </c>
      <c r="M201" s="504">
        <f t="shared" si="327"/>
        <v>0</v>
      </c>
      <c r="N201" s="504">
        <f t="shared" si="321"/>
        <v>1.2633472771447062E-3</v>
      </c>
      <c r="O201" s="504">
        <f t="shared" ref="O201:U201" si="351">BU27*O162*0.8/1000/1000000</f>
        <v>1.0423224234847434E-3</v>
      </c>
      <c r="P201" s="504">
        <f t="shared" si="351"/>
        <v>0</v>
      </c>
      <c r="Q201" s="504">
        <f t="shared" si="351"/>
        <v>0</v>
      </c>
      <c r="R201" s="504">
        <f t="shared" si="351"/>
        <v>0</v>
      </c>
      <c r="S201" s="504">
        <f t="shared" si="351"/>
        <v>0</v>
      </c>
      <c r="T201" s="504">
        <f t="shared" si="351"/>
        <v>2.6075086399992875E-4</v>
      </c>
      <c r="U201" s="504">
        <f t="shared" si="351"/>
        <v>0</v>
      </c>
      <c r="V201" s="92">
        <f t="shared" si="343"/>
        <v>6.1830892208635177E-2</v>
      </c>
      <c r="AR201" s="98"/>
    </row>
    <row r="202" spans="1:44" ht="18" x14ac:dyDescent="0.25">
      <c r="B202" s="61">
        <v>20</v>
      </c>
      <c r="C202" s="63"/>
      <c r="D202" s="504">
        <f t="shared" si="334"/>
        <v>1.1239037172941274E-2</v>
      </c>
      <c r="E202" s="504">
        <f t="shared" si="332"/>
        <v>7.3981064082770005E-3</v>
      </c>
      <c r="F202" s="504">
        <f t="shared" si="335"/>
        <v>2.8609211145018167E-3</v>
      </c>
      <c r="G202" s="544">
        <f t="shared" si="350"/>
        <v>2.0026447801512717E-3</v>
      </c>
      <c r="H202" s="504">
        <f t="shared" si="320"/>
        <v>1.0526937865625561E-3</v>
      </c>
      <c r="I202" s="504">
        <f t="shared" si="323"/>
        <v>6.7807173055678611E-4</v>
      </c>
      <c r="J202" s="504">
        <f t="shared" si="324"/>
        <v>2.0397178329880088E-3</v>
      </c>
      <c r="K202" s="504">
        <f t="shared" si="325"/>
        <v>3.3648810623999968E-3</v>
      </c>
      <c r="L202" s="504">
        <f t="shared" si="326"/>
        <v>0</v>
      </c>
      <c r="M202" s="504">
        <f t="shared" si="327"/>
        <v>0</v>
      </c>
      <c r="N202" s="504">
        <f t="shared" si="321"/>
        <v>8.5112064198862808E-4</v>
      </c>
      <c r="O202" s="504">
        <f t="shared" ref="O202:U202" si="352">BU28*O163*0.8/1000/1000000</f>
        <v>8.1219929102707288E-4</v>
      </c>
      <c r="P202" s="504">
        <f t="shared" si="352"/>
        <v>0</v>
      </c>
      <c r="Q202" s="504">
        <f t="shared" si="352"/>
        <v>0</v>
      </c>
      <c r="R202" s="504">
        <f t="shared" si="352"/>
        <v>0</v>
      </c>
      <c r="S202" s="504">
        <f t="shared" si="352"/>
        <v>0</v>
      </c>
      <c r="T202" s="504">
        <f t="shared" si="352"/>
        <v>6.7795224639981459E-5</v>
      </c>
      <c r="U202" s="504">
        <f t="shared" si="352"/>
        <v>0</v>
      </c>
      <c r="V202" s="92">
        <f t="shared" si="343"/>
        <v>3.2367189046034389E-2</v>
      </c>
      <c r="AR202" s="98"/>
    </row>
    <row r="203" spans="1:44" ht="18" x14ac:dyDescent="0.25">
      <c r="B203" s="61">
        <v>21</v>
      </c>
      <c r="C203" s="63"/>
      <c r="D203" s="504">
        <f t="shared" si="334"/>
        <v>9.6837007202065419E-3</v>
      </c>
      <c r="E203" s="504">
        <f t="shared" si="332"/>
        <v>5.5278712791650957E-3</v>
      </c>
      <c r="F203" s="504">
        <f t="shared" si="335"/>
        <v>2.8686088550779112E-3</v>
      </c>
      <c r="G203" s="544">
        <f t="shared" si="350"/>
        <v>2.0080261985545378E-3</v>
      </c>
      <c r="H203" s="504">
        <f t="shared" si="320"/>
        <v>1.0588913078297588E-3</v>
      </c>
      <c r="I203" s="504">
        <f t="shared" si="323"/>
        <v>6.7957634739698172E-4</v>
      </c>
      <c r="J203" s="504">
        <f t="shared" si="324"/>
        <v>2.0459580224480183E-3</v>
      </c>
      <c r="K203" s="504">
        <f t="shared" si="325"/>
        <v>2.8678593849599957E-3</v>
      </c>
      <c r="L203" s="504">
        <f t="shared" si="326"/>
        <v>0</v>
      </c>
      <c r="M203" s="504">
        <f t="shared" si="327"/>
        <v>0</v>
      </c>
      <c r="N203" s="504">
        <f t="shared" si="321"/>
        <v>7.765965840972821E-4</v>
      </c>
      <c r="O203" s="504">
        <f t="shared" ref="O203:U203" si="353">BU29*O164*0.8/1000/1000000</f>
        <v>3.5195302611173155E-4</v>
      </c>
      <c r="P203" s="504">
        <f t="shared" si="353"/>
        <v>0</v>
      </c>
      <c r="Q203" s="504">
        <f t="shared" si="353"/>
        <v>0</v>
      </c>
      <c r="R203" s="504">
        <f t="shared" si="353"/>
        <v>0</v>
      </c>
      <c r="S203" s="504">
        <f t="shared" si="353"/>
        <v>0</v>
      </c>
      <c r="T203" s="504">
        <f t="shared" si="353"/>
        <v>7.822525919997861E-5</v>
      </c>
      <c r="U203" s="504">
        <f t="shared" si="353"/>
        <v>0</v>
      </c>
      <c r="V203" s="92">
        <f t="shared" ref="V203:V211" si="354">SUM(D203:U203)</f>
        <v>2.794726698504783E-2</v>
      </c>
      <c r="AR203" s="98"/>
    </row>
    <row r="204" spans="1:44" ht="18" x14ac:dyDescent="0.25">
      <c r="B204" s="61">
        <v>22</v>
      </c>
      <c r="C204" s="63"/>
      <c r="D204" s="504">
        <f t="shared" si="334"/>
        <v>9.712494816365061E-3</v>
      </c>
      <c r="E204" s="504">
        <f t="shared" si="332"/>
        <v>5.5347723197165209E-3</v>
      </c>
      <c r="F204" s="504">
        <f t="shared" si="335"/>
        <v>2.875026195050446E-3</v>
      </c>
      <c r="G204" s="544">
        <f t="shared" si="350"/>
        <v>2.0125183365353122E-3</v>
      </c>
      <c r="H204" s="504">
        <f t="shared" si="320"/>
        <v>1.0644841555039974E-3</v>
      </c>
      <c r="I204" s="504">
        <f t="shared" si="323"/>
        <v>6.8070579622139923E-4</v>
      </c>
      <c r="J204" s="504">
        <f t="shared" si="324"/>
        <v>2.0509575188396947E-3</v>
      </c>
      <c r="K204" s="504">
        <f t="shared" si="325"/>
        <v>2.8755826617600016E-3</v>
      </c>
      <c r="L204" s="504">
        <f t="shared" si="326"/>
        <v>0</v>
      </c>
      <c r="M204" s="504">
        <f t="shared" si="327"/>
        <v>0</v>
      </c>
      <c r="N204" s="504">
        <f t="shared" si="321"/>
        <v>7.777385683811201E-4</v>
      </c>
      <c r="O204" s="504">
        <f t="shared" ref="O204:U204" si="355">BU30*O165*0.8/1000/1000000</f>
        <v>3.5195302611173155E-4</v>
      </c>
      <c r="P204" s="504">
        <f t="shared" si="355"/>
        <v>0</v>
      </c>
      <c r="Q204" s="504">
        <f t="shared" si="355"/>
        <v>0</v>
      </c>
      <c r="R204" s="504">
        <f t="shared" si="355"/>
        <v>0</v>
      </c>
      <c r="S204" s="504">
        <f t="shared" si="355"/>
        <v>0</v>
      </c>
      <c r="T204" s="504">
        <f t="shared" si="355"/>
        <v>7.822525919997861E-5</v>
      </c>
      <c r="U204" s="504">
        <f t="shared" si="355"/>
        <v>0</v>
      </c>
      <c r="V204" s="92">
        <f t="shared" si="354"/>
        <v>2.8014458653685265E-2</v>
      </c>
      <c r="AR204" s="98"/>
    </row>
    <row r="205" spans="1:44" ht="18" x14ac:dyDescent="0.25">
      <c r="B205" s="61">
        <v>23</v>
      </c>
      <c r="C205" s="63"/>
      <c r="D205" s="504">
        <f t="shared" si="334"/>
        <v>0</v>
      </c>
      <c r="E205" s="504">
        <f t="shared" si="332"/>
        <v>0</v>
      </c>
      <c r="F205" s="504">
        <f t="shared" si="335"/>
        <v>0</v>
      </c>
      <c r="G205" s="544">
        <f t="shared" si="350"/>
        <v>0</v>
      </c>
      <c r="H205" s="504">
        <f t="shared" si="320"/>
        <v>0</v>
      </c>
      <c r="I205" s="504">
        <f t="shared" si="323"/>
        <v>0</v>
      </c>
      <c r="J205" s="504">
        <f t="shared" si="324"/>
        <v>0</v>
      </c>
      <c r="K205" s="504">
        <f t="shared" si="325"/>
        <v>0</v>
      </c>
      <c r="L205" s="504">
        <f t="shared" si="326"/>
        <v>0</v>
      </c>
      <c r="M205" s="504">
        <f t="shared" si="327"/>
        <v>0</v>
      </c>
      <c r="N205" s="504">
        <f t="shared" si="321"/>
        <v>0</v>
      </c>
      <c r="O205" s="504">
        <f t="shared" ref="O205:U207" si="356">BU31*O166*0.8/1000/1000000</f>
        <v>0</v>
      </c>
      <c r="P205" s="504">
        <f t="shared" si="356"/>
        <v>0</v>
      </c>
      <c r="Q205" s="504">
        <f t="shared" si="356"/>
        <v>0</v>
      </c>
      <c r="R205" s="504">
        <f t="shared" si="356"/>
        <v>0</v>
      </c>
      <c r="S205" s="504">
        <f t="shared" si="356"/>
        <v>0</v>
      </c>
      <c r="T205" s="504">
        <f t="shared" si="356"/>
        <v>0</v>
      </c>
      <c r="U205" s="504">
        <f t="shared" si="356"/>
        <v>0</v>
      </c>
      <c r="V205" s="92">
        <f t="shared" si="354"/>
        <v>0</v>
      </c>
      <c r="AR205" s="98"/>
    </row>
    <row r="206" spans="1:44" ht="18" x14ac:dyDescent="0.25">
      <c r="B206" s="61">
        <v>24</v>
      </c>
      <c r="C206" s="63"/>
      <c r="D206" s="504">
        <f t="shared" si="334"/>
        <v>0</v>
      </c>
      <c r="E206" s="504">
        <f t="shared" si="332"/>
        <v>0</v>
      </c>
      <c r="F206" s="504">
        <f t="shared" si="335"/>
        <v>0</v>
      </c>
      <c r="G206" s="544">
        <f t="shared" si="350"/>
        <v>0</v>
      </c>
      <c r="H206" s="504">
        <f t="shared" si="320"/>
        <v>0</v>
      </c>
      <c r="I206" s="504">
        <f t="shared" si="323"/>
        <v>0</v>
      </c>
      <c r="J206" s="504">
        <f t="shared" si="324"/>
        <v>0</v>
      </c>
      <c r="K206" s="504">
        <f t="shared" si="325"/>
        <v>0</v>
      </c>
      <c r="L206" s="504">
        <f t="shared" si="326"/>
        <v>0</v>
      </c>
      <c r="M206" s="504">
        <f t="shared" si="327"/>
        <v>0</v>
      </c>
      <c r="N206" s="504">
        <f t="shared" si="321"/>
        <v>0</v>
      </c>
      <c r="O206" s="504">
        <f t="shared" si="356"/>
        <v>0</v>
      </c>
      <c r="P206" s="504">
        <f t="shared" ref="P206:U206" si="357">BV32*P167*0.8/1000/1000000</f>
        <v>0</v>
      </c>
      <c r="Q206" s="504">
        <f t="shared" si="357"/>
        <v>0</v>
      </c>
      <c r="R206" s="504">
        <f t="shared" si="357"/>
        <v>0</v>
      </c>
      <c r="S206" s="504">
        <f t="shared" si="357"/>
        <v>0</v>
      </c>
      <c r="T206" s="504">
        <f t="shared" si="357"/>
        <v>0</v>
      </c>
      <c r="U206" s="504">
        <f t="shared" si="357"/>
        <v>0</v>
      </c>
      <c r="V206" s="92">
        <f t="shared" si="354"/>
        <v>0</v>
      </c>
      <c r="AR206" s="98"/>
    </row>
    <row r="207" spans="1:44" ht="18" x14ac:dyDescent="0.25">
      <c r="B207" s="61">
        <v>25</v>
      </c>
      <c r="C207" s="63"/>
      <c r="D207" s="504">
        <f t="shared" si="334"/>
        <v>0</v>
      </c>
      <c r="E207" s="504">
        <f t="shared" si="332"/>
        <v>0</v>
      </c>
      <c r="F207" s="504">
        <f t="shared" si="335"/>
        <v>0</v>
      </c>
      <c r="G207" s="544">
        <f>F207*0.5</f>
        <v>0</v>
      </c>
      <c r="H207" s="504">
        <f t="shared" si="320"/>
        <v>0</v>
      </c>
      <c r="I207" s="504">
        <f t="shared" si="323"/>
        <v>0</v>
      </c>
      <c r="J207" s="504">
        <f t="shared" si="324"/>
        <v>0</v>
      </c>
      <c r="K207" s="504">
        <f t="shared" si="325"/>
        <v>0</v>
      </c>
      <c r="L207" s="504">
        <f t="shared" si="326"/>
        <v>0</v>
      </c>
      <c r="M207" s="504">
        <f t="shared" si="327"/>
        <v>0</v>
      </c>
      <c r="N207" s="504">
        <f t="shared" si="321"/>
        <v>0</v>
      </c>
      <c r="O207" s="504">
        <f t="shared" si="356"/>
        <v>0</v>
      </c>
      <c r="P207" s="504">
        <f t="shared" ref="P207:U207" si="358">BV33*P168*0.8/1000/1000000</f>
        <v>0</v>
      </c>
      <c r="Q207" s="504">
        <f t="shared" si="358"/>
        <v>0</v>
      </c>
      <c r="R207" s="504">
        <f t="shared" si="358"/>
        <v>0</v>
      </c>
      <c r="S207" s="504">
        <f t="shared" si="358"/>
        <v>0</v>
      </c>
      <c r="T207" s="504">
        <f t="shared" si="358"/>
        <v>0</v>
      </c>
      <c r="U207" s="504">
        <f t="shared" si="358"/>
        <v>0</v>
      </c>
      <c r="V207" s="92">
        <f t="shared" si="354"/>
        <v>0</v>
      </c>
      <c r="AR207" s="98"/>
    </row>
    <row r="208" spans="1:44" ht="18" x14ac:dyDescent="0.25">
      <c r="B208" s="61">
        <v>26</v>
      </c>
      <c r="C208" s="63"/>
      <c r="D208" s="504">
        <f t="shared" si="334"/>
        <v>0</v>
      </c>
      <c r="E208" s="504">
        <f t="shared" si="332"/>
        <v>0</v>
      </c>
      <c r="F208" s="504">
        <f t="shared" si="335"/>
        <v>0</v>
      </c>
      <c r="G208" s="544">
        <f>F208*0.5</f>
        <v>0</v>
      </c>
      <c r="H208" s="504">
        <f t="shared" si="320"/>
        <v>0</v>
      </c>
      <c r="I208" s="504">
        <f t="shared" si="323"/>
        <v>0</v>
      </c>
      <c r="J208" s="504">
        <f t="shared" si="324"/>
        <v>0</v>
      </c>
      <c r="K208" s="504">
        <f t="shared" si="325"/>
        <v>0</v>
      </c>
      <c r="L208" s="504">
        <f t="shared" si="326"/>
        <v>0</v>
      </c>
      <c r="M208" s="504">
        <f t="shared" si="327"/>
        <v>0</v>
      </c>
      <c r="N208" s="504">
        <f t="shared" si="321"/>
        <v>0</v>
      </c>
      <c r="O208" s="504">
        <f t="shared" ref="O208:U208" si="359">BU34*O169*0.8/1000/1000000</f>
        <v>0</v>
      </c>
      <c r="P208" s="504">
        <f t="shared" si="359"/>
        <v>0</v>
      </c>
      <c r="Q208" s="504">
        <f t="shared" si="359"/>
        <v>0</v>
      </c>
      <c r="R208" s="504">
        <f t="shared" si="359"/>
        <v>0</v>
      </c>
      <c r="S208" s="504">
        <f t="shared" si="359"/>
        <v>0</v>
      </c>
      <c r="T208" s="504">
        <f t="shared" si="359"/>
        <v>0</v>
      </c>
      <c r="U208" s="504">
        <f t="shared" si="359"/>
        <v>0</v>
      </c>
      <c r="V208" s="92">
        <f t="shared" si="354"/>
        <v>0</v>
      </c>
      <c r="AR208" s="98"/>
    </row>
    <row r="209" spans="2:44" ht="18" x14ac:dyDescent="0.25">
      <c r="B209" s="61">
        <v>27</v>
      </c>
      <c r="C209" s="63"/>
      <c r="D209" s="504">
        <f t="shared" si="334"/>
        <v>0</v>
      </c>
      <c r="E209" s="504">
        <f t="shared" si="332"/>
        <v>0</v>
      </c>
      <c r="F209" s="504">
        <f t="shared" si="335"/>
        <v>0</v>
      </c>
      <c r="G209" s="544">
        <f>F209*0.9</f>
        <v>0</v>
      </c>
      <c r="H209" s="504">
        <f t="shared" si="320"/>
        <v>0</v>
      </c>
      <c r="I209" s="504">
        <f t="shared" si="323"/>
        <v>0</v>
      </c>
      <c r="J209" s="504">
        <f t="shared" si="324"/>
        <v>0</v>
      </c>
      <c r="K209" s="504">
        <f t="shared" si="325"/>
        <v>0</v>
      </c>
      <c r="L209" s="504">
        <f t="shared" si="326"/>
        <v>0</v>
      </c>
      <c r="M209" s="504">
        <f t="shared" si="327"/>
        <v>0</v>
      </c>
      <c r="N209" s="504">
        <f t="shared" si="321"/>
        <v>0</v>
      </c>
      <c r="O209" s="504">
        <f t="shared" ref="O209:U209" si="360">BU35*O170*0.8/1000/1000000</f>
        <v>0</v>
      </c>
      <c r="P209" s="504">
        <f t="shared" si="360"/>
        <v>0</v>
      </c>
      <c r="Q209" s="504">
        <f t="shared" si="360"/>
        <v>0</v>
      </c>
      <c r="R209" s="504">
        <f t="shared" si="360"/>
        <v>0</v>
      </c>
      <c r="S209" s="504">
        <f t="shared" si="360"/>
        <v>0</v>
      </c>
      <c r="T209" s="504">
        <f t="shared" si="360"/>
        <v>0</v>
      </c>
      <c r="U209" s="504">
        <f t="shared" si="360"/>
        <v>0</v>
      </c>
      <c r="V209" s="92">
        <f t="shared" si="354"/>
        <v>0</v>
      </c>
      <c r="AR209" s="98"/>
    </row>
    <row r="210" spans="2:44" ht="18" x14ac:dyDescent="0.25">
      <c r="B210" s="61">
        <v>28</v>
      </c>
      <c r="C210" s="63"/>
      <c r="D210" s="504">
        <f t="shared" si="334"/>
        <v>0</v>
      </c>
      <c r="E210" s="504">
        <f t="shared" si="332"/>
        <v>0</v>
      </c>
      <c r="F210" s="504">
        <f t="shared" si="335"/>
        <v>0</v>
      </c>
      <c r="G210" s="544">
        <f>F210*0.9</f>
        <v>0</v>
      </c>
      <c r="H210" s="504">
        <f t="shared" si="320"/>
        <v>0</v>
      </c>
      <c r="I210" s="504">
        <f t="shared" si="323"/>
        <v>0</v>
      </c>
      <c r="J210" s="504">
        <f t="shared" si="324"/>
        <v>0</v>
      </c>
      <c r="K210" s="504">
        <f t="shared" si="325"/>
        <v>0</v>
      </c>
      <c r="L210" s="504">
        <f t="shared" si="326"/>
        <v>0</v>
      </c>
      <c r="M210" s="504">
        <f t="shared" si="327"/>
        <v>0</v>
      </c>
      <c r="N210" s="504">
        <f t="shared" si="321"/>
        <v>0</v>
      </c>
      <c r="O210" s="504">
        <f t="shared" ref="O210:U210" si="361">BU36*O171*0.8/1000/1000000</f>
        <v>0</v>
      </c>
      <c r="P210" s="504">
        <f t="shared" si="361"/>
        <v>0</v>
      </c>
      <c r="Q210" s="504">
        <f t="shared" si="361"/>
        <v>0</v>
      </c>
      <c r="R210" s="504">
        <f t="shared" si="361"/>
        <v>0</v>
      </c>
      <c r="S210" s="504">
        <f t="shared" si="361"/>
        <v>0</v>
      </c>
      <c r="T210" s="504">
        <f t="shared" si="361"/>
        <v>0</v>
      </c>
      <c r="U210" s="504">
        <f t="shared" si="361"/>
        <v>0</v>
      </c>
      <c r="V210" s="92">
        <f t="shared" si="354"/>
        <v>0</v>
      </c>
      <c r="AR210" s="98"/>
    </row>
    <row r="211" spans="2:44" ht="18" x14ac:dyDescent="0.25">
      <c r="B211" s="61">
        <v>29</v>
      </c>
      <c r="C211" s="63"/>
      <c r="D211" s="504">
        <f t="shared" si="334"/>
        <v>0</v>
      </c>
      <c r="E211" s="504">
        <f t="shared" si="332"/>
        <v>0</v>
      </c>
      <c r="F211" s="504">
        <f t="shared" si="335"/>
        <v>0</v>
      </c>
      <c r="G211" s="544">
        <f t="shared" ref="G211:G213" si="362">F211*0.8</f>
        <v>0</v>
      </c>
      <c r="H211" s="504">
        <f t="shared" si="320"/>
        <v>0</v>
      </c>
      <c r="I211" s="504">
        <f t="shared" si="323"/>
        <v>0</v>
      </c>
      <c r="J211" s="504">
        <f t="shared" si="324"/>
        <v>0</v>
      </c>
      <c r="K211" s="504">
        <f t="shared" si="325"/>
        <v>0</v>
      </c>
      <c r="L211" s="504">
        <f t="shared" si="326"/>
        <v>0</v>
      </c>
      <c r="M211" s="504">
        <f t="shared" si="327"/>
        <v>0</v>
      </c>
      <c r="N211" s="504">
        <f t="shared" si="321"/>
        <v>0</v>
      </c>
      <c r="O211" s="504">
        <f t="shared" ref="O211:U211" si="363">BU37*O172*0.8/1000/1000000</f>
        <v>0</v>
      </c>
      <c r="P211" s="504">
        <f t="shared" si="363"/>
        <v>0</v>
      </c>
      <c r="Q211" s="504">
        <f t="shared" si="363"/>
        <v>0</v>
      </c>
      <c r="R211" s="504">
        <f t="shared" si="363"/>
        <v>0</v>
      </c>
      <c r="S211" s="504">
        <f t="shared" si="363"/>
        <v>0</v>
      </c>
      <c r="T211" s="504">
        <f t="shared" si="363"/>
        <v>0</v>
      </c>
      <c r="U211" s="504">
        <f t="shared" si="363"/>
        <v>0</v>
      </c>
      <c r="V211" s="92">
        <f t="shared" si="354"/>
        <v>0</v>
      </c>
      <c r="AR211" s="98"/>
    </row>
    <row r="212" spans="2:44" ht="18" x14ac:dyDescent="0.25">
      <c r="B212" s="61">
        <v>30</v>
      </c>
      <c r="C212" s="63"/>
      <c r="D212" s="504">
        <f t="shared" si="334"/>
        <v>0</v>
      </c>
      <c r="E212" s="504">
        <f t="shared" si="332"/>
        <v>0</v>
      </c>
      <c r="F212" s="504">
        <f t="shared" si="335"/>
        <v>0</v>
      </c>
      <c r="G212" s="544">
        <f t="shared" si="362"/>
        <v>0</v>
      </c>
      <c r="H212" s="504">
        <f t="shared" si="320"/>
        <v>0</v>
      </c>
      <c r="I212" s="504">
        <f t="shared" si="323"/>
        <v>0</v>
      </c>
      <c r="J212" s="504">
        <f t="shared" si="324"/>
        <v>0</v>
      </c>
      <c r="K212" s="504">
        <f t="shared" si="325"/>
        <v>0</v>
      </c>
      <c r="L212" s="504">
        <f t="shared" si="326"/>
        <v>0</v>
      </c>
      <c r="M212" s="504">
        <f t="shared" si="327"/>
        <v>0</v>
      </c>
      <c r="N212" s="504">
        <f t="shared" si="321"/>
        <v>0</v>
      </c>
      <c r="O212" s="504">
        <f t="shared" ref="O212:U212" si="364">BU38*O173*0.8/1000/1000000</f>
        <v>0</v>
      </c>
      <c r="P212" s="504">
        <f t="shared" si="364"/>
        <v>0</v>
      </c>
      <c r="Q212" s="504">
        <f t="shared" si="364"/>
        <v>0</v>
      </c>
      <c r="R212" s="504">
        <f t="shared" si="364"/>
        <v>0</v>
      </c>
      <c r="S212" s="504">
        <f t="shared" si="364"/>
        <v>0</v>
      </c>
      <c r="T212" s="504">
        <f t="shared" si="364"/>
        <v>0</v>
      </c>
      <c r="U212" s="504">
        <f t="shared" si="364"/>
        <v>0</v>
      </c>
      <c r="V212" s="92">
        <f>SUM(D212:U212)</f>
        <v>0</v>
      </c>
      <c r="AR212" s="98"/>
    </row>
    <row r="213" spans="2:44" ht="18" x14ac:dyDescent="0.25">
      <c r="B213" s="725">
        <v>31</v>
      </c>
      <c r="C213" s="68"/>
      <c r="D213" s="504">
        <f t="shared" si="334"/>
        <v>0</v>
      </c>
      <c r="E213" s="504">
        <f t="shared" si="332"/>
        <v>0</v>
      </c>
      <c r="F213" s="504">
        <f t="shared" si="335"/>
        <v>0</v>
      </c>
      <c r="G213" s="544">
        <f t="shared" si="362"/>
        <v>0</v>
      </c>
      <c r="H213" s="504">
        <f t="shared" si="320"/>
        <v>0</v>
      </c>
      <c r="I213" s="504">
        <f t="shared" si="323"/>
        <v>0</v>
      </c>
      <c r="J213" s="504">
        <f t="shared" si="324"/>
        <v>0</v>
      </c>
      <c r="K213" s="504">
        <f t="shared" si="325"/>
        <v>0</v>
      </c>
      <c r="L213" s="504">
        <f t="shared" si="326"/>
        <v>0</v>
      </c>
      <c r="M213" s="504">
        <f t="shared" si="327"/>
        <v>0</v>
      </c>
      <c r="N213" s="504">
        <f t="shared" si="321"/>
        <v>0</v>
      </c>
      <c r="O213" s="504">
        <f t="shared" ref="O213:U213" si="365">BU39*O174*0.8/1000/1000000</f>
        <v>0</v>
      </c>
      <c r="P213" s="504">
        <f t="shared" si="365"/>
        <v>0</v>
      </c>
      <c r="Q213" s="504">
        <f t="shared" si="365"/>
        <v>0</v>
      </c>
      <c r="R213" s="504">
        <f t="shared" si="365"/>
        <v>0</v>
      </c>
      <c r="S213" s="504">
        <f t="shared" si="365"/>
        <v>0</v>
      </c>
      <c r="T213" s="504">
        <f t="shared" si="365"/>
        <v>0</v>
      </c>
      <c r="U213" s="504">
        <f t="shared" si="365"/>
        <v>0</v>
      </c>
      <c r="V213" s="92">
        <f>SUM(D213:U213)</f>
        <v>0</v>
      </c>
      <c r="AR213" s="98"/>
    </row>
    <row r="214" spans="2:44" ht="18" x14ac:dyDescent="0.25">
      <c r="B214" s="83" t="s">
        <v>51</v>
      </c>
      <c r="C214" s="84"/>
      <c r="D214" s="87">
        <f>SUM(D183:D213)</f>
        <v>0.15801153566603515</v>
      </c>
      <c r="E214" s="87">
        <f t="shared" ref="E214:U214" si="366">SUM(E183:E213)</f>
        <v>9.9072205347313633E-2</v>
      </c>
      <c r="F214" s="87">
        <f t="shared" si="366"/>
        <v>3.4215968846495408E-2</v>
      </c>
      <c r="G214" s="87">
        <f t="shared" si="366"/>
        <v>2.4791969582888002E-2</v>
      </c>
      <c r="H214" s="87">
        <f t="shared" si="366"/>
        <v>1.9885303938736453E-2</v>
      </c>
      <c r="I214" s="87">
        <f t="shared" si="366"/>
        <v>1.1422789924799968E-2</v>
      </c>
      <c r="J214" s="87">
        <f t="shared" si="366"/>
        <v>3.3842280174946213E-2</v>
      </c>
      <c r="K214" s="87">
        <f t="shared" si="366"/>
        <v>4.5174959260639989E-2</v>
      </c>
      <c r="L214" s="87">
        <f t="shared" si="366"/>
        <v>0</v>
      </c>
      <c r="M214" s="87">
        <f t="shared" si="366"/>
        <v>0</v>
      </c>
      <c r="N214" s="87">
        <f t="shared" si="366"/>
        <v>1.1720079944680301E-2</v>
      </c>
      <c r="O214" s="87">
        <f t="shared" si="366"/>
        <v>1.3242992231730104E-2</v>
      </c>
      <c r="P214" s="87">
        <f t="shared" si="366"/>
        <v>0</v>
      </c>
      <c r="Q214" s="87">
        <f t="shared" si="366"/>
        <v>0</v>
      </c>
      <c r="R214" s="87">
        <f t="shared" si="366"/>
        <v>0</v>
      </c>
      <c r="S214" s="87">
        <f t="shared" si="366"/>
        <v>0</v>
      </c>
      <c r="T214" s="87">
        <f t="shared" si="366"/>
        <v>1.4471672951996044E-3</v>
      </c>
      <c r="U214" s="87">
        <f t="shared" si="366"/>
        <v>0</v>
      </c>
      <c r="V214" s="87">
        <f>SUM(V183:V213)</f>
        <v>0.45282725221346487</v>
      </c>
      <c r="AR214" s="98"/>
    </row>
    <row r="215" spans="2:44" x14ac:dyDescent="0.2">
      <c r="AR215" s="98"/>
    </row>
    <row r="216" spans="2:44" x14ac:dyDescent="0.2">
      <c r="AR216" s="98"/>
    </row>
    <row r="217" spans="2:44" ht="27.75" customHeight="1" x14ac:dyDescent="0.25">
      <c r="B217" s="83" t="s">
        <v>51</v>
      </c>
      <c r="D217" s="548">
        <f>D214</f>
        <v>0.15801153566603515</v>
      </c>
      <c r="E217" s="548">
        <f t="shared" ref="E217:V217" si="367">E214</f>
        <v>9.9072205347313633E-2</v>
      </c>
      <c r="F217" s="548">
        <f t="shared" si="367"/>
        <v>3.4215968846495408E-2</v>
      </c>
      <c r="G217" s="548">
        <f t="shared" si="367"/>
        <v>2.4791969582888002E-2</v>
      </c>
      <c r="H217" s="548">
        <f t="shared" si="367"/>
        <v>1.9885303938736453E-2</v>
      </c>
      <c r="I217" s="548">
        <f t="shared" si="367"/>
        <v>1.1422789924799968E-2</v>
      </c>
      <c r="J217" s="548">
        <f t="shared" si="367"/>
        <v>3.3842280174946213E-2</v>
      </c>
      <c r="K217" s="548">
        <f t="shared" si="367"/>
        <v>4.5174959260639989E-2</v>
      </c>
      <c r="L217" s="13">
        <f t="shared" si="367"/>
        <v>0</v>
      </c>
      <c r="M217" s="13">
        <f t="shared" si="367"/>
        <v>0</v>
      </c>
      <c r="N217" s="548">
        <f t="shared" si="367"/>
        <v>1.1720079944680301E-2</v>
      </c>
      <c r="O217" s="548">
        <f t="shared" si="367"/>
        <v>1.3242992231730104E-2</v>
      </c>
      <c r="P217" s="13">
        <f t="shared" si="367"/>
        <v>0</v>
      </c>
      <c r="Q217" s="13">
        <f t="shared" si="367"/>
        <v>0</v>
      </c>
      <c r="R217" s="13">
        <f t="shared" si="367"/>
        <v>0</v>
      </c>
      <c r="S217" s="13">
        <f t="shared" si="367"/>
        <v>0</v>
      </c>
      <c r="T217" s="548">
        <f t="shared" si="367"/>
        <v>1.4471672951996044E-3</v>
      </c>
      <c r="U217" s="13">
        <f t="shared" si="367"/>
        <v>0</v>
      </c>
      <c r="V217" s="548">
        <f t="shared" si="367"/>
        <v>0.45282725221346487</v>
      </c>
    </row>
  </sheetData>
  <mergeCells count="8">
    <mergeCell ref="BB4:BC4"/>
    <mergeCell ref="BE4:BH4"/>
    <mergeCell ref="Z103:Z104"/>
    <mergeCell ref="Y103:Y104"/>
    <mergeCell ref="Y66:Y67"/>
    <mergeCell ref="AV4:AW4"/>
    <mergeCell ref="AX4:AY4"/>
    <mergeCell ref="AZ4:BA4"/>
  </mergeCells>
  <phoneticPr fontId="0" type="noConversion"/>
  <printOptions horizontalCentered="1" gridLinesSet="0"/>
  <pageMargins left="7.874015748031496E-2" right="0.19685039370078741" top="0.59055118110236227" bottom="0.11811023622047245" header="0.23622047244094491" footer="0.15748031496062992"/>
  <pageSetup paperSize="9" orientation="landscape" r:id="rId1"/>
  <headerFooter alignWithMargins="0">
    <oddFooter>&amp;L&amp;D&amp;R&amp;F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AZ73"/>
  <sheetViews>
    <sheetView showGridLines="0" topLeftCell="A19" zoomScale="70" zoomScaleNormal="70" workbookViewId="0">
      <selection activeCell="K40" sqref="K40"/>
    </sheetView>
  </sheetViews>
  <sheetFormatPr defaultColWidth="9.28515625" defaultRowHeight="32.25" customHeight="1" x14ac:dyDescent="0.3"/>
  <cols>
    <col min="1" max="1" width="9.28515625" style="100" customWidth="1"/>
    <col min="2" max="2" width="17.85546875" style="100" customWidth="1"/>
    <col min="3" max="3" width="15" style="100" customWidth="1"/>
    <col min="4" max="4" width="0.28515625" style="100" customWidth="1"/>
    <col min="5" max="5" width="15.42578125" style="100" customWidth="1"/>
    <col min="6" max="6" width="15.28515625" style="100" customWidth="1"/>
    <col min="7" max="7" width="19.140625" style="100" customWidth="1"/>
    <col min="8" max="8" width="15.42578125" style="100" customWidth="1"/>
    <col min="9" max="9" width="16" style="100" customWidth="1"/>
    <col min="10" max="10" width="16.7109375" style="100" customWidth="1"/>
    <col min="11" max="11" width="15" style="100" customWidth="1"/>
    <col min="12" max="12" width="15.28515625" style="100" customWidth="1"/>
    <col min="13" max="13" width="15" style="100" customWidth="1"/>
    <col min="14" max="14" width="18" style="100" customWidth="1"/>
    <col min="15" max="15" width="20" style="100" bestFit="1" customWidth="1"/>
    <col min="16" max="16" width="26.140625" style="100" customWidth="1"/>
    <col min="17" max="17" width="14.140625" style="100" bestFit="1" customWidth="1"/>
    <col min="18" max="18" width="9.5703125" style="100" bestFit="1" customWidth="1"/>
    <col min="19" max="19" width="9.28515625" style="100"/>
    <col min="20" max="20" width="18.28515625" style="100" customWidth="1"/>
    <col min="21" max="21" width="18.140625" style="100" customWidth="1"/>
    <col min="22" max="22" width="18" style="100" customWidth="1"/>
    <col min="23" max="23" width="15.7109375" style="100" customWidth="1"/>
    <col min="24" max="24" width="11.85546875" style="100" bestFit="1" customWidth="1"/>
    <col min="25" max="26" width="14.28515625" style="100" customWidth="1"/>
    <col min="27" max="27" width="15" style="100" customWidth="1"/>
    <col min="28" max="28" width="9.28515625" style="100"/>
    <col min="29" max="29" width="16.7109375" style="100" customWidth="1"/>
    <col min="30" max="16384" width="9.28515625" style="100"/>
  </cols>
  <sheetData>
    <row r="2" spans="2:29" ht="16.5" x14ac:dyDescent="0.3">
      <c r="B2" s="101"/>
      <c r="C2" s="101"/>
      <c r="D2" s="101"/>
    </row>
    <row r="3" spans="2:29" ht="16.5" x14ac:dyDescent="0.3">
      <c r="B3" s="101"/>
      <c r="C3" s="101"/>
      <c r="D3" s="101"/>
    </row>
    <row r="4" spans="2:29" ht="16.5" x14ac:dyDescent="0.3">
      <c r="B4" s="101"/>
      <c r="C4" s="101"/>
      <c r="D4" s="101"/>
    </row>
    <row r="5" spans="2:29" ht="32.25" customHeight="1" x14ac:dyDescent="0.3">
      <c r="B5" s="101"/>
      <c r="C5" s="101"/>
      <c r="D5" s="101"/>
      <c r="M5" s="194"/>
    </row>
    <row r="6" spans="2:29" ht="16.5" x14ac:dyDescent="0.3">
      <c r="B6" s="101"/>
      <c r="C6" s="101"/>
      <c r="D6" s="101"/>
    </row>
    <row r="7" spans="2:29" ht="16.5" x14ac:dyDescent="0.3">
      <c r="B7" s="101"/>
      <c r="C7" s="101"/>
      <c r="D7" s="101"/>
    </row>
    <row r="8" spans="2:29" ht="16.5" x14ac:dyDescent="0.3">
      <c r="B8" s="102"/>
      <c r="C8" s="102"/>
      <c r="D8" s="102"/>
      <c r="E8" s="102"/>
      <c r="L8" s="100" t="s">
        <v>0</v>
      </c>
    </row>
    <row r="9" spans="2:29" ht="18.75" x14ac:dyDescent="0.3">
      <c r="B9" s="102"/>
      <c r="C9" s="102"/>
      <c r="D9" s="102"/>
      <c r="E9" s="135"/>
      <c r="F9" s="166"/>
      <c r="G9" s="166"/>
      <c r="H9" s="166"/>
      <c r="I9" s="104"/>
      <c r="J9" s="104"/>
      <c r="K9" s="104"/>
      <c r="L9" s="104"/>
      <c r="M9" s="104"/>
      <c r="N9" s="104"/>
      <c r="O9" s="104"/>
    </row>
    <row r="10" spans="2:29" ht="18.75" x14ac:dyDescent="0.3">
      <c r="B10" s="135" t="s">
        <v>203</v>
      </c>
      <c r="C10" s="105"/>
      <c r="D10" s="105"/>
      <c r="E10" s="104"/>
      <c r="F10" s="104"/>
      <c r="G10" s="104"/>
      <c r="H10" s="104"/>
      <c r="I10" s="104"/>
      <c r="J10" s="106"/>
      <c r="K10" s="106"/>
      <c r="L10" s="106"/>
      <c r="M10" s="104"/>
      <c r="N10" s="104"/>
      <c r="O10" s="104"/>
    </row>
    <row r="11" spans="2:29" ht="19.5" x14ac:dyDescent="0.3">
      <c r="B11" s="135" t="s">
        <v>204</v>
      </c>
      <c r="C11" s="105"/>
      <c r="D11" s="105"/>
      <c r="E11" s="103"/>
      <c r="F11" s="105"/>
      <c r="G11" s="105"/>
      <c r="H11" s="105"/>
      <c r="I11" s="105"/>
      <c r="J11" s="104"/>
      <c r="K11" s="104"/>
      <c r="L11" s="104"/>
      <c r="O11" s="136"/>
      <c r="Q11"/>
    </row>
    <row r="12" spans="2:29" ht="21" thickBot="1" x14ac:dyDescent="0.35">
      <c r="B12" s="105"/>
      <c r="C12" s="105"/>
      <c r="D12" s="105"/>
      <c r="E12" s="103"/>
      <c r="F12" s="105"/>
      <c r="G12" s="105"/>
      <c r="H12" s="105"/>
      <c r="I12" s="105"/>
      <c r="J12" s="104"/>
      <c r="K12" s="104"/>
      <c r="L12" s="104"/>
      <c r="N12" s="319" t="s">
        <v>165</v>
      </c>
      <c r="O12" s="463">
        <v>46135</v>
      </c>
    </row>
    <row r="13" spans="2:29" ht="19.5" thickTop="1" x14ac:dyDescent="0.3">
      <c r="B13" s="107"/>
      <c r="C13" s="108"/>
      <c r="D13" s="108"/>
      <c r="E13" s="109"/>
      <c r="F13" s="800" t="s">
        <v>143</v>
      </c>
      <c r="G13" s="801"/>
      <c r="H13" s="801"/>
      <c r="I13" s="802"/>
      <c r="J13" s="800" t="s">
        <v>118</v>
      </c>
      <c r="K13" s="801"/>
      <c r="L13" s="801"/>
      <c r="M13" s="802"/>
      <c r="N13" s="204"/>
      <c r="O13" s="200"/>
    </row>
    <row r="14" spans="2:29" ht="18" customHeight="1" x14ac:dyDescent="0.3">
      <c r="B14" s="111"/>
      <c r="C14" s="112"/>
      <c r="D14" s="112"/>
      <c r="E14" s="203" t="s">
        <v>81</v>
      </c>
      <c r="F14" s="791"/>
      <c r="G14" s="792"/>
      <c r="H14" s="792"/>
      <c r="I14" s="793"/>
      <c r="M14" s="199"/>
      <c r="N14" s="201" t="s">
        <v>88</v>
      </c>
      <c r="O14" s="202"/>
      <c r="AB14" s="165"/>
      <c r="AC14" s="165"/>
    </row>
    <row r="15" spans="2:29" ht="20.25" x14ac:dyDescent="0.3">
      <c r="B15" s="797" t="s">
        <v>78</v>
      </c>
      <c r="C15" s="798"/>
      <c r="D15" s="799"/>
      <c r="E15" s="203" t="s">
        <v>82</v>
      </c>
      <c r="F15" s="189" t="s">
        <v>133</v>
      </c>
      <c r="G15" s="176" t="s">
        <v>137</v>
      </c>
      <c r="H15" s="186" t="s">
        <v>134</v>
      </c>
      <c r="I15" s="190" t="s">
        <v>85</v>
      </c>
      <c r="J15" s="803" t="s">
        <v>119</v>
      </c>
      <c r="K15" s="804"/>
      <c r="L15" s="803" t="s">
        <v>87</v>
      </c>
      <c r="M15" s="804"/>
      <c r="N15" s="201" t="s">
        <v>77</v>
      </c>
      <c r="O15" s="202"/>
      <c r="AB15" s="165"/>
      <c r="AC15" s="437"/>
    </row>
    <row r="16" spans="2:29" ht="20.25" x14ac:dyDescent="0.3">
      <c r="B16" s="111"/>
      <c r="C16" s="112"/>
      <c r="D16" s="112"/>
      <c r="E16" s="113"/>
      <c r="F16" s="206" t="s">
        <v>297</v>
      </c>
      <c r="G16" s="177" t="s">
        <v>138</v>
      </c>
      <c r="H16" s="187" t="s">
        <v>135</v>
      </c>
      <c r="I16" s="191" t="s">
        <v>133</v>
      </c>
      <c r="J16" s="118"/>
      <c r="K16" s="117"/>
      <c r="L16" s="118"/>
      <c r="M16" s="116"/>
      <c r="O16" s="115"/>
      <c r="AB16" s="165"/>
      <c r="AC16" s="436"/>
    </row>
    <row r="17" spans="2:52" ht="20.25" x14ac:dyDescent="0.3">
      <c r="B17" s="111"/>
      <c r="C17" s="112"/>
      <c r="D17" s="112"/>
      <c r="E17" s="113"/>
      <c r="F17" s="174"/>
      <c r="G17" s="177" t="s">
        <v>132</v>
      </c>
      <c r="H17" s="187" t="s">
        <v>136</v>
      </c>
      <c r="I17" s="182"/>
      <c r="J17" s="118"/>
      <c r="K17" s="117" t="s">
        <v>74</v>
      </c>
      <c r="L17" s="118"/>
      <c r="M17" s="116" t="s">
        <v>74</v>
      </c>
      <c r="N17" s="205">
        <v>2025</v>
      </c>
      <c r="O17" s="202"/>
      <c r="AB17" s="165"/>
      <c r="AC17" s="165"/>
    </row>
    <row r="18" spans="2:52" ht="20.25" x14ac:dyDescent="0.3">
      <c r="B18" s="111"/>
      <c r="C18" s="112"/>
      <c r="D18" s="112"/>
      <c r="E18" s="113"/>
      <c r="F18" s="174"/>
      <c r="G18" s="177" t="s">
        <v>139</v>
      </c>
      <c r="H18" s="187" t="s">
        <v>141</v>
      </c>
      <c r="I18" s="522"/>
      <c r="J18" s="118"/>
      <c r="K18" s="117" t="s">
        <v>75</v>
      </c>
      <c r="L18" s="118"/>
      <c r="M18" s="116" t="s">
        <v>75</v>
      </c>
      <c r="N18" s="114"/>
      <c r="O18" s="115"/>
      <c r="AB18" s="165"/>
    </row>
    <row r="19" spans="2:52" ht="20.25" x14ac:dyDescent="0.3">
      <c r="B19" s="111"/>
      <c r="C19" s="112"/>
      <c r="D19" s="112"/>
      <c r="E19" s="113"/>
      <c r="F19" s="174"/>
      <c r="G19" s="177" t="s">
        <v>140</v>
      </c>
      <c r="H19" s="187" t="s">
        <v>142</v>
      </c>
      <c r="I19" s="182"/>
      <c r="J19" s="118"/>
      <c r="K19" s="117"/>
      <c r="L19" s="118"/>
      <c r="M19" s="116"/>
      <c r="N19" s="114"/>
      <c r="O19" s="115"/>
      <c r="AC19" s="440"/>
    </row>
    <row r="20" spans="2:52" ht="17.25" x14ac:dyDescent="0.3">
      <c r="B20" s="111"/>
      <c r="C20" s="112"/>
      <c r="D20" s="112"/>
      <c r="E20" s="113"/>
      <c r="F20" s="174"/>
      <c r="G20" s="177" t="s">
        <v>150</v>
      </c>
      <c r="H20" s="187"/>
      <c r="I20" s="182" t="s">
        <v>131</v>
      </c>
      <c r="J20" s="118"/>
      <c r="K20" s="117"/>
      <c r="L20" s="118"/>
      <c r="M20" s="116"/>
      <c r="N20" s="195"/>
      <c r="O20" s="119"/>
      <c r="Q20"/>
    </row>
    <row r="21" spans="2:52" ht="21" thickBot="1" x14ac:dyDescent="0.35">
      <c r="B21" s="120"/>
      <c r="C21" s="121"/>
      <c r="D21" s="121"/>
      <c r="E21" s="122" t="s">
        <v>83</v>
      </c>
      <c r="F21" s="175" t="s">
        <v>83</v>
      </c>
      <c r="G21" s="207" t="str">
        <f>F16</f>
        <v>24ώρου</v>
      </c>
      <c r="H21" s="207" t="str">
        <f>F16</f>
        <v>24ώρου</v>
      </c>
      <c r="I21" s="212" t="s">
        <v>265</v>
      </c>
      <c r="J21" s="123" t="s">
        <v>86</v>
      </c>
      <c r="K21" s="125" t="s">
        <v>57</v>
      </c>
      <c r="L21" s="123" t="s">
        <v>86</v>
      </c>
      <c r="M21" s="126" t="s">
        <v>57</v>
      </c>
      <c r="N21" s="218" t="s">
        <v>83</v>
      </c>
      <c r="O21" s="223" t="s">
        <v>104</v>
      </c>
      <c r="P21" s="171"/>
      <c r="Q21"/>
      <c r="R21" s="243"/>
      <c r="S21" s="171"/>
    </row>
    <row r="22" spans="2:52" ht="36.75" customHeight="1" thickTop="1" x14ac:dyDescent="0.3">
      <c r="B22" s="794" t="s">
        <v>89</v>
      </c>
      <c r="C22" s="795"/>
      <c r="D22" s="796"/>
      <c r="E22" s="138">
        <v>115</v>
      </c>
      <c r="F22" s="192">
        <f>'DAILY-ELEV-STR(1)'!D44</f>
        <v>0.12</v>
      </c>
      <c r="G22" s="178">
        <f>-'DAILY-ELEV-STR(1)'!D43-0.01+0.1</f>
        <v>6.7000000000000004E-2</v>
      </c>
      <c r="H22" s="188">
        <f t="shared" ref="H22:H28" si="0">SUM(F22:G22)</f>
        <v>0.187</v>
      </c>
      <c r="I22" s="193">
        <f>'DAILY-ELEV-STR(1)'!D46</f>
        <v>19.484999999999999</v>
      </c>
      <c r="J22" s="196">
        <f>'DAILY-ELEV-STR(1)'!D61</f>
        <v>41.866999999999997</v>
      </c>
      <c r="K22" s="197">
        <f t="shared" ref="K22:K39" si="1">J22/E22*100</f>
        <v>36.40608695652174</v>
      </c>
      <c r="L22" s="139">
        <v>22.007999999999999</v>
      </c>
      <c r="M22" s="198">
        <f t="shared" ref="M22:M39" si="2">L22/E22*100</f>
        <v>19.137391304347826</v>
      </c>
      <c r="N22" s="219">
        <v>25.538</v>
      </c>
      <c r="O22" s="145" t="s">
        <v>266</v>
      </c>
      <c r="P22" s="171"/>
      <c r="Q22"/>
      <c r="R22" s="171"/>
      <c r="S22" s="208"/>
    </row>
    <row r="23" spans="2:52" ht="36.75" customHeight="1" x14ac:dyDescent="0.3">
      <c r="B23" s="779" t="s">
        <v>90</v>
      </c>
      <c r="C23" s="780"/>
      <c r="D23" s="781"/>
      <c r="E23" s="140">
        <v>52.375</v>
      </c>
      <c r="F23" s="137">
        <f>'DAILY-ELEV-STR(1)'!E44</f>
        <v>5.6000000000000001E-2</v>
      </c>
      <c r="G23" s="179">
        <f>-'DAILY-ELEV-STR(1)'!E43-0.006</f>
        <v>-1.4E-2</v>
      </c>
      <c r="H23" s="188">
        <f t="shared" si="0"/>
        <v>4.2000000000000003E-2</v>
      </c>
      <c r="I23" s="183">
        <f>'DAILY-ELEV-STR(1)'!E46</f>
        <v>17.938000000000002</v>
      </c>
      <c r="J23" s="141">
        <f>'DAILY-ELEV-STR(1)'!E61</f>
        <v>20.376999999999999</v>
      </c>
      <c r="K23" s="142">
        <f t="shared" si="1"/>
        <v>38.905966587112168</v>
      </c>
      <c r="L23" s="143">
        <v>12.513999999999999</v>
      </c>
      <c r="M23" s="144">
        <f t="shared" si="2"/>
        <v>23.89307875894988</v>
      </c>
      <c r="N23" s="219">
        <v>15.348000000000001</v>
      </c>
      <c r="O23" s="145" t="s">
        <v>267</v>
      </c>
      <c r="P23" s="171"/>
      <c r="Q23"/>
      <c r="R23" s="171"/>
      <c r="S23" s="171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</row>
    <row r="24" spans="2:52" ht="36.75" customHeight="1" x14ac:dyDescent="0.3">
      <c r="B24" s="779" t="s">
        <v>91</v>
      </c>
      <c r="C24" s="780"/>
      <c r="D24" s="781"/>
      <c r="E24" s="140">
        <v>24</v>
      </c>
      <c r="F24" s="137">
        <f>'DAILY-ELEV-STR(1)'!F44</f>
        <v>4.1000000000000002E-2</v>
      </c>
      <c r="G24" s="179">
        <f>-'DAILY-ELEV-STR(1)'!F43-0.003</f>
        <v>-4.0000000000000001E-3</v>
      </c>
      <c r="H24" s="188">
        <f t="shared" si="0"/>
        <v>3.7000000000000005E-2</v>
      </c>
      <c r="I24" s="183">
        <f>'DAILY-ELEV-STR(1)'!F46</f>
        <v>8.7920000000000016</v>
      </c>
      <c r="J24" s="141">
        <f>'DAILY-ELEV-STR(1)'!F61</f>
        <v>10.887</v>
      </c>
      <c r="K24" s="142">
        <f t="shared" si="1"/>
        <v>45.362499999999997</v>
      </c>
      <c r="L24" s="143">
        <v>5.7290000000000001</v>
      </c>
      <c r="M24" s="144">
        <f t="shared" si="2"/>
        <v>23.870833333333334</v>
      </c>
      <c r="N24" s="219">
        <v>6.2009999999999996</v>
      </c>
      <c r="O24" s="145" t="s">
        <v>268</v>
      </c>
      <c r="P24" s="171"/>
      <c r="Q24"/>
      <c r="R24" s="171"/>
      <c r="S24" s="171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</row>
    <row r="25" spans="2:52" ht="36.75" customHeight="1" x14ac:dyDescent="0.3">
      <c r="B25" s="779" t="s">
        <v>129</v>
      </c>
      <c r="C25" s="780"/>
      <c r="D25" s="781"/>
      <c r="E25" s="140">
        <v>17.167999999999999</v>
      </c>
      <c r="F25" s="137">
        <f>'DAILY-ELEV-STR(1)'!G44</f>
        <v>2.3E-2</v>
      </c>
      <c r="G25" s="179">
        <f>-'DAILY-ELEV-STR(1)'!G43-0.002</f>
        <v>-1.2E-2</v>
      </c>
      <c r="H25" s="188">
        <f t="shared" si="0"/>
        <v>1.0999999999999999E-2</v>
      </c>
      <c r="I25" s="183">
        <f>'DAILY-ELEV-STR(1)'!G46</f>
        <v>8.32</v>
      </c>
      <c r="J25" s="141">
        <f>'DAILY-ELEV-STR(1)'!G61</f>
        <v>8.3550000000000004</v>
      </c>
      <c r="K25" s="230">
        <f t="shared" si="1"/>
        <v>48.666123019571302</v>
      </c>
      <c r="L25" s="143">
        <v>4.3209999999999997</v>
      </c>
      <c r="M25" s="144">
        <f t="shared" si="2"/>
        <v>25.168918918918919</v>
      </c>
      <c r="N25" s="219">
        <v>5.2060000000000004</v>
      </c>
      <c r="O25" s="145" t="s">
        <v>267</v>
      </c>
      <c r="P25" s="171"/>
      <c r="Q25"/>
      <c r="R25" s="171"/>
      <c r="S25" s="171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</row>
    <row r="26" spans="2:52" ht="36.75" customHeight="1" x14ac:dyDescent="0.3">
      <c r="B26" s="779" t="s">
        <v>92</v>
      </c>
      <c r="C26" s="780"/>
      <c r="D26" s="781"/>
      <c r="E26" s="140">
        <v>17.100000000000001</v>
      </c>
      <c r="F26" s="137">
        <f>'DAILY-ELEV-STR(1)'!H44</f>
        <v>3.3000000000000002E-2</v>
      </c>
      <c r="G26" s="179">
        <f>-'DAILY-ELEV-STR(1)'!H43-0.001</f>
        <v>-3.0000000000000001E-3</v>
      </c>
      <c r="H26" s="188">
        <f t="shared" si="0"/>
        <v>3.0000000000000002E-2</v>
      </c>
      <c r="I26" s="183">
        <f>'DAILY-ELEV-STR(1)'!H46</f>
        <v>3.319</v>
      </c>
      <c r="J26" s="141">
        <f>'DAILY-ELEV-STR(1)'!H61</f>
        <v>3.5720000000000001</v>
      </c>
      <c r="K26" s="142">
        <f t="shared" si="1"/>
        <v>20.888888888888886</v>
      </c>
      <c r="L26" s="143">
        <v>4.5069999999999997</v>
      </c>
      <c r="M26" s="144">
        <f t="shared" si="2"/>
        <v>26.35672514619883</v>
      </c>
      <c r="N26" s="219">
        <v>4.726</v>
      </c>
      <c r="O26" s="145" t="s">
        <v>263</v>
      </c>
      <c r="P26" s="171"/>
      <c r="Q26"/>
      <c r="R26" s="171"/>
      <c r="S26" s="208"/>
      <c r="AB26" s="127"/>
      <c r="AC26" s="127"/>
      <c r="AD26" s="127"/>
    </row>
    <row r="27" spans="2:52" ht="36.75" customHeight="1" x14ac:dyDescent="0.3">
      <c r="B27" s="779" t="s">
        <v>93</v>
      </c>
      <c r="C27" s="780"/>
      <c r="D27" s="781"/>
      <c r="E27" s="140">
        <v>13.85</v>
      </c>
      <c r="F27" s="137">
        <f>'DAILY-ELEV-STR(1)'!I44</f>
        <v>8.9999999999999993E-3</v>
      </c>
      <c r="G27" s="179">
        <f>-'DAILY-ELEV-STR(1)'!I43-0.001</f>
        <v>-2E-3</v>
      </c>
      <c r="H27" s="188">
        <f t="shared" si="0"/>
        <v>6.9999999999999993E-3</v>
      </c>
      <c r="I27" s="183">
        <f>'DAILY-ELEV-STR(1)'!I46</f>
        <v>1.5150000000000001</v>
      </c>
      <c r="J27" s="141">
        <f>'DAILY-ELEV-STR(1)'!I61</f>
        <v>2.4449999999999998</v>
      </c>
      <c r="K27" s="142">
        <f t="shared" si="1"/>
        <v>17.653429602888085</v>
      </c>
      <c r="L27" s="143">
        <v>3.2869999999999999</v>
      </c>
      <c r="M27" s="144">
        <f t="shared" si="2"/>
        <v>23.732851985559567</v>
      </c>
      <c r="N27" s="219">
        <v>5.6509999999999998</v>
      </c>
      <c r="O27" s="145" t="s">
        <v>269</v>
      </c>
      <c r="P27" s="171"/>
      <c r="Q27"/>
      <c r="R27" s="171"/>
      <c r="S27" s="208"/>
    </row>
    <row r="28" spans="2:52" ht="36.75" customHeight="1" x14ac:dyDescent="0.3">
      <c r="B28" s="779" t="s">
        <v>94</v>
      </c>
      <c r="C28" s="780"/>
      <c r="D28" s="781"/>
      <c r="E28" s="140">
        <v>15.5</v>
      </c>
      <c r="F28" s="137">
        <f>'DAILY-ELEV-STR(1)'!J44</f>
        <v>2.1000000000000005E-2</v>
      </c>
      <c r="G28" s="179">
        <f>-'DAILY-ELEV-STR(1)'!J43-0.002+0.013</f>
        <v>-1.0000000000000009E-3</v>
      </c>
      <c r="H28" s="188">
        <f t="shared" si="0"/>
        <v>2.0000000000000004E-2</v>
      </c>
      <c r="I28" s="183">
        <f>'DAILY-ELEV-STR(1)'!J46</f>
        <v>3.157</v>
      </c>
      <c r="J28" s="141">
        <f>'DAILY-ELEV-STR(1)'!J61</f>
        <v>5.7640000000000002</v>
      </c>
      <c r="K28" s="142">
        <f t="shared" si="1"/>
        <v>37.187096774193549</v>
      </c>
      <c r="L28" s="143">
        <v>5.78</v>
      </c>
      <c r="M28" s="144">
        <f t="shared" si="2"/>
        <v>37.29032258064516</v>
      </c>
      <c r="N28" s="219">
        <v>5.9939999999999998</v>
      </c>
      <c r="O28" s="145" t="s">
        <v>270</v>
      </c>
      <c r="P28" s="171"/>
      <c r="Q28"/>
      <c r="R28" s="171"/>
      <c r="S28" s="208"/>
    </row>
    <row r="29" spans="2:52" ht="36.75" customHeight="1" x14ac:dyDescent="0.3">
      <c r="B29" s="779" t="s">
        <v>95</v>
      </c>
      <c r="C29" s="780"/>
      <c r="D29" s="781"/>
      <c r="E29" s="140">
        <v>13.5</v>
      </c>
      <c r="F29" s="137">
        <f>'DAILY-ELEV-STR(1)'!K44</f>
        <v>3.3000000000000002E-2</v>
      </c>
      <c r="G29" s="179">
        <f>-'DAILY-ELEV-STR(1)'!K43-0.003</f>
        <v>-4.0000000000000001E-3</v>
      </c>
      <c r="H29" s="188">
        <f>SUM(F29:G29)</f>
        <v>2.9000000000000001E-2</v>
      </c>
      <c r="I29" s="183">
        <f>'DAILY-ELEV-STR(1)'!K46</f>
        <v>7.5129999999999999</v>
      </c>
      <c r="J29" s="141">
        <f>'DAILY-ELEV-STR(1)'!K61</f>
        <v>7.1320000000000006</v>
      </c>
      <c r="K29" s="142">
        <f t="shared" si="1"/>
        <v>52.829629629629636</v>
      </c>
      <c r="L29" s="143">
        <v>3.3809999999999998</v>
      </c>
      <c r="M29" s="144">
        <f t="shared" si="2"/>
        <v>25.044444444444441</v>
      </c>
      <c r="N29" s="219">
        <v>3.7949999999999999</v>
      </c>
      <c r="O29" s="145" t="s">
        <v>271</v>
      </c>
      <c r="P29" s="171"/>
      <c r="Q29"/>
      <c r="R29" s="171"/>
      <c r="S29" s="208"/>
    </row>
    <row r="30" spans="2:52" ht="36.75" customHeight="1" x14ac:dyDescent="0.3">
      <c r="B30" s="779" t="s">
        <v>69</v>
      </c>
      <c r="C30" s="780"/>
      <c r="D30" s="781"/>
      <c r="E30" s="140">
        <v>4.3</v>
      </c>
      <c r="F30" s="137">
        <f>'DAILY-ELEV-STR(1)'!L44</f>
        <v>0.10400000000000001</v>
      </c>
      <c r="G30" s="179">
        <f>-'DAILY-ELEV-STR(1)'!L43-0.1</f>
        <v>-0.10400000000000001</v>
      </c>
      <c r="H30" s="188">
        <f t="shared" ref="H30:H39" si="3">SUM(F30:G30)</f>
        <v>0</v>
      </c>
      <c r="I30" s="183">
        <f>'DAILY-ELEV-STR(1)'!L46</f>
        <v>17.135000000000002</v>
      </c>
      <c r="J30" s="141">
        <f>'DAILY-ELEV-STR(1)'!L61</f>
        <v>1.5169999999999999</v>
      </c>
      <c r="K30" s="142">
        <f t="shared" si="1"/>
        <v>35.279069767441861</v>
      </c>
      <c r="L30" s="143">
        <v>2.6360000000000001</v>
      </c>
      <c r="M30" s="144">
        <f t="shared" si="2"/>
        <v>61.302325581395358</v>
      </c>
      <c r="N30" s="219">
        <v>2.734</v>
      </c>
      <c r="O30" s="145" t="s">
        <v>272</v>
      </c>
      <c r="P30" s="171"/>
      <c r="Q30"/>
      <c r="R30" s="171"/>
      <c r="S30" s="208"/>
    </row>
    <row r="31" spans="2:52" ht="36.75" customHeight="1" x14ac:dyDescent="0.3">
      <c r="B31" s="779" t="s">
        <v>96</v>
      </c>
      <c r="C31" s="780"/>
      <c r="D31" s="781"/>
      <c r="E31" s="140">
        <v>3.4</v>
      </c>
      <c r="F31" s="137">
        <f>'DAILY-ELEV-STR(1)'!N44</f>
        <v>5.0000000000000001E-3</v>
      </c>
      <c r="G31" s="179">
        <f>-'DAILY-ELEV-STR(1)'!N43-0.001</f>
        <v>-1E-3</v>
      </c>
      <c r="H31" s="188">
        <f>SUM(F31:G31)</f>
        <v>4.0000000000000001E-3</v>
      </c>
      <c r="I31" s="183">
        <f>'DAILY-ELEV-STR(1)'!N46</f>
        <v>1.3220000000000003</v>
      </c>
      <c r="J31" s="141">
        <f>'DAILY-ELEV-STR(1)'!N61</f>
        <v>1.9480000000000002</v>
      </c>
      <c r="K31" s="142">
        <f t="shared" si="1"/>
        <v>57.294117647058826</v>
      </c>
      <c r="L31" s="143">
        <v>1.272</v>
      </c>
      <c r="M31" s="144">
        <f t="shared" si="2"/>
        <v>37.411764705882355</v>
      </c>
      <c r="N31" s="219">
        <v>1.393</v>
      </c>
      <c r="O31" s="145" t="s">
        <v>262</v>
      </c>
      <c r="P31" s="171"/>
      <c r="Q31"/>
      <c r="R31" s="171"/>
      <c r="S31" s="208"/>
    </row>
    <row r="32" spans="2:52" ht="36.75" customHeight="1" x14ac:dyDescent="0.3">
      <c r="B32" s="779" t="s">
        <v>97</v>
      </c>
      <c r="C32" s="780"/>
      <c r="D32" s="781"/>
      <c r="E32" s="140">
        <v>2.1800000000000002</v>
      </c>
      <c r="F32" s="137">
        <f>'DAILY-ELEV-STR(1)'!O44</f>
        <v>1E-3</v>
      </c>
      <c r="G32" s="179">
        <f>-'DAILY-ELEV-STR(1)'!O43-0</f>
        <v>-1E-3</v>
      </c>
      <c r="H32" s="188">
        <f t="shared" si="3"/>
        <v>0</v>
      </c>
      <c r="I32" s="183">
        <f>'DAILY-ELEV-STR(1)'!O46</f>
        <v>0.91800000000000015</v>
      </c>
      <c r="J32" s="141">
        <f>'DAILY-ELEV-STR(1)'!O61</f>
        <v>1.974</v>
      </c>
      <c r="K32" s="142">
        <f t="shared" si="1"/>
        <v>90.550458715596321</v>
      </c>
      <c r="L32" s="143">
        <v>0</v>
      </c>
      <c r="M32" s="144">
        <f t="shared" si="2"/>
        <v>0</v>
      </c>
      <c r="N32" s="219">
        <v>1.3979999999999999</v>
      </c>
      <c r="O32" s="145" t="s">
        <v>273</v>
      </c>
      <c r="P32" s="171"/>
      <c r="Q32"/>
      <c r="R32" s="208"/>
      <c r="S32" s="208"/>
    </row>
    <row r="33" spans="2:42" ht="36.75" customHeight="1" x14ac:dyDescent="0.3">
      <c r="B33" s="779" t="s">
        <v>98</v>
      </c>
      <c r="C33" s="780"/>
      <c r="D33" s="781"/>
      <c r="E33" s="140">
        <v>1.69</v>
      </c>
      <c r="F33" s="137">
        <f>'DAILY-ELEV-STR(1)'!P44</f>
        <v>8.0000000000000002E-3</v>
      </c>
      <c r="G33" s="179">
        <f>-'DAILY-ELEV-STR(1)'!P43</f>
        <v>0</v>
      </c>
      <c r="H33" s="188">
        <f t="shared" si="3"/>
        <v>8.0000000000000002E-3</v>
      </c>
      <c r="I33" s="183">
        <f>'DAILY-ELEV-STR(1)'!P46</f>
        <v>1.6360000000000001</v>
      </c>
      <c r="J33" s="141">
        <f>'DAILY-ELEV-STR(1)'!P61</f>
        <v>1.637</v>
      </c>
      <c r="K33" s="142">
        <f t="shared" si="1"/>
        <v>96.863905325443795</v>
      </c>
      <c r="L33" s="143">
        <v>4.8000000000000001E-2</v>
      </c>
      <c r="M33" s="144">
        <f t="shared" si="2"/>
        <v>2.8402366863905328</v>
      </c>
      <c r="N33" s="219">
        <v>5.0999999999999997E-2</v>
      </c>
      <c r="O33" s="145" t="s">
        <v>274</v>
      </c>
      <c r="P33" s="171"/>
      <c r="Q33"/>
      <c r="R33" s="171"/>
    </row>
    <row r="34" spans="2:42" ht="36.75" customHeight="1" x14ac:dyDescent="0.3">
      <c r="B34" s="779" t="s">
        <v>99</v>
      </c>
      <c r="C34" s="780"/>
      <c r="D34" s="781"/>
      <c r="E34" s="140">
        <v>1.43</v>
      </c>
      <c r="F34" s="137">
        <f>'DAILY-ELEV-STR(1)'!Q44</f>
        <v>2E-3</v>
      </c>
      <c r="G34" s="179">
        <f>-'DAILY-ELEV-STR(1)'!Q43</f>
        <v>0</v>
      </c>
      <c r="H34" s="188">
        <f t="shared" si="3"/>
        <v>2E-3</v>
      </c>
      <c r="I34" s="183">
        <f>'DAILY-ELEV-STR(1)'!Q46</f>
        <v>1.4180000000000001</v>
      </c>
      <c r="J34" s="141">
        <f>'DAILY-ELEV-STR(1)'!Q61</f>
        <v>1.43</v>
      </c>
      <c r="K34" s="142">
        <f t="shared" si="1"/>
        <v>100</v>
      </c>
      <c r="L34" s="143">
        <v>0.314</v>
      </c>
      <c r="M34" s="144">
        <f t="shared" si="2"/>
        <v>21.95804195804196</v>
      </c>
      <c r="N34" s="219">
        <v>0.33500000000000002</v>
      </c>
      <c r="O34" s="145" t="s">
        <v>275</v>
      </c>
      <c r="P34" s="171"/>
      <c r="Q34"/>
      <c r="R34" s="171"/>
    </row>
    <row r="35" spans="2:42" ht="36.75" customHeight="1" x14ac:dyDescent="0.3">
      <c r="B35" s="779" t="s">
        <v>100</v>
      </c>
      <c r="C35" s="780"/>
      <c r="D35" s="781"/>
      <c r="E35" s="146">
        <v>0.99</v>
      </c>
      <c r="F35" s="137">
        <f>'DAILY-ELEV-STR(1)'!R44</f>
        <v>0</v>
      </c>
      <c r="G35" s="179">
        <f>-'DAILY-ELEV-STR(1)'!R43</f>
        <v>0</v>
      </c>
      <c r="H35" s="188">
        <f t="shared" si="3"/>
        <v>0</v>
      </c>
      <c r="I35" s="183">
        <f>'DAILY-ELEV-STR(1)'!R46</f>
        <v>1.0010000000000001</v>
      </c>
      <c r="J35" s="141">
        <f>'DAILY-ELEV-STR(1)'!R61</f>
        <v>0.99</v>
      </c>
      <c r="K35" s="142">
        <f t="shared" si="1"/>
        <v>100</v>
      </c>
      <c r="L35" s="143">
        <v>0.38500000000000001</v>
      </c>
      <c r="M35" s="144">
        <f t="shared" si="2"/>
        <v>38.888888888888893</v>
      </c>
      <c r="N35" s="219">
        <v>0.39100000000000001</v>
      </c>
      <c r="O35" s="145" t="s">
        <v>276</v>
      </c>
      <c r="P35" s="171"/>
      <c r="Q35"/>
      <c r="R35" s="171"/>
    </row>
    <row r="36" spans="2:42" ht="36.75" customHeight="1" x14ac:dyDescent="0.3">
      <c r="B36" s="779" t="s">
        <v>80</v>
      </c>
      <c r="C36" s="780"/>
      <c r="D36" s="781"/>
      <c r="E36" s="146">
        <v>0.86</v>
      </c>
      <c r="F36" s="137">
        <f>'DAILY-ELEV-STR(1)'!S44</f>
        <v>0</v>
      </c>
      <c r="G36" s="179">
        <f>-'DAILY-ELEV-STR(1)'!S43</f>
        <v>0</v>
      </c>
      <c r="H36" s="188">
        <f t="shared" si="3"/>
        <v>0</v>
      </c>
      <c r="I36" s="183">
        <f>'DAILY-ELEV-STR(1)'!S46</f>
        <v>0.78600000000000025</v>
      </c>
      <c r="J36" s="141">
        <f>'DAILY-ELEV-STR(1)'!S61</f>
        <v>0.86</v>
      </c>
      <c r="K36" s="142">
        <f t="shared" si="1"/>
        <v>100</v>
      </c>
      <c r="L36" s="143">
        <v>0.378</v>
      </c>
      <c r="M36" s="144">
        <f t="shared" si="2"/>
        <v>43.953488372093027</v>
      </c>
      <c r="N36" s="219">
        <v>0.378</v>
      </c>
      <c r="O36" s="145" t="s">
        <v>277</v>
      </c>
      <c r="P36" s="171"/>
      <c r="Q36"/>
      <c r="R36" s="171"/>
      <c r="S36" s="127"/>
      <c r="T36" s="127"/>
      <c r="U36" s="127"/>
    </row>
    <row r="37" spans="2:42" ht="36.75" customHeight="1" x14ac:dyDescent="0.3">
      <c r="B37" s="779" t="s">
        <v>101</v>
      </c>
      <c r="C37" s="780"/>
      <c r="D37" s="781"/>
      <c r="E37" s="147">
        <v>0.36299999999999999</v>
      </c>
      <c r="F37" s="137">
        <f>'DAILY-ELEV-STR(1)'!T44</f>
        <v>0</v>
      </c>
      <c r="G37" s="179">
        <f>-'DAILY-ELEV-STR(1)'!T43-0</f>
        <v>0</v>
      </c>
      <c r="H37" s="188">
        <f t="shared" si="3"/>
        <v>0</v>
      </c>
      <c r="I37" s="183">
        <f>'DAILY-ELEV-STR(1)'!T46</f>
        <v>0.31100000000000005</v>
      </c>
      <c r="J37" s="141">
        <f>'DAILY-ELEV-STR(1)'!T61</f>
        <v>0.36299999999999999</v>
      </c>
      <c r="K37" s="142">
        <f t="shared" si="1"/>
        <v>100</v>
      </c>
      <c r="L37" s="143">
        <v>0.317</v>
      </c>
      <c r="M37" s="144">
        <f t="shared" si="2"/>
        <v>87.327823691460054</v>
      </c>
      <c r="N37" s="219">
        <v>0.32</v>
      </c>
      <c r="O37" s="145" t="s">
        <v>278</v>
      </c>
      <c r="P37" s="171"/>
      <c r="Q37"/>
      <c r="R37" s="171"/>
    </row>
    <row r="38" spans="2:42" ht="36.75" customHeight="1" x14ac:dyDescent="0.3">
      <c r="B38" s="779" t="s">
        <v>102</v>
      </c>
      <c r="C38" s="780"/>
      <c r="D38" s="781"/>
      <c r="E38" s="147">
        <v>0.29799999999999999</v>
      </c>
      <c r="F38" s="137">
        <f>'DAILY-ELEV-STR(1)'!U44</f>
        <v>0</v>
      </c>
      <c r="G38" s="179">
        <f>-'DAILY-ELEV-STR(1)'!U43</f>
        <v>0</v>
      </c>
      <c r="H38" s="188">
        <f t="shared" si="3"/>
        <v>0</v>
      </c>
      <c r="I38" s="183">
        <f>'DAILY-ELEV-STR(1)'!U46</f>
        <v>0.24300000000000002</v>
      </c>
      <c r="J38" s="141">
        <f>'DAILY-ELEV-STR(1)'!U61</f>
        <v>0.29799999999999999</v>
      </c>
      <c r="K38" s="142">
        <f t="shared" si="1"/>
        <v>100</v>
      </c>
      <c r="L38" s="143">
        <v>0.17699999999999999</v>
      </c>
      <c r="M38" s="144">
        <f t="shared" si="2"/>
        <v>59.395973154362416</v>
      </c>
      <c r="N38" s="219">
        <v>0.17699999999999999</v>
      </c>
      <c r="O38" s="145" t="s">
        <v>279</v>
      </c>
      <c r="P38" s="127"/>
      <c r="Q38"/>
      <c r="R38" s="171"/>
    </row>
    <row r="39" spans="2:42" ht="36.75" customHeight="1" thickBot="1" x14ac:dyDescent="0.35">
      <c r="B39" s="782" t="s">
        <v>103</v>
      </c>
      <c r="C39" s="783"/>
      <c r="D39" s="784"/>
      <c r="E39" s="148">
        <v>6.8</v>
      </c>
      <c r="F39" s="149">
        <f>'DAILY-ELEV-STR(1)'!M44</f>
        <v>0</v>
      </c>
      <c r="G39" s="180">
        <f>'DAILY-ELEV-STR(1)'!M42</f>
        <v>0</v>
      </c>
      <c r="H39" s="188">
        <f t="shared" si="3"/>
        <v>0</v>
      </c>
      <c r="I39" s="184">
        <f>'DAILY-ELEV-STR(1)'!M46</f>
        <v>0</v>
      </c>
      <c r="J39" s="150">
        <f>'DAILY-ELEV-STR(1)'!M61</f>
        <v>0.14899999999999999</v>
      </c>
      <c r="K39" s="151">
        <f t="shared" si="1"/>
        <v>2.1911764705882355</v>
      </c>
      <c r="L39" s="152">
        <v>1.119</v>
      </c>
      <c r="M39" s="153">
        <f t="shared" si="2"/>
        <v>16.455882352941174</v>
      </c>
      <c r="N39" s="220">
        <v>1.9650000000000001</v>
      </c>
      <c r="O39" s="154" t="s">
        <v>280</v>
      </c>
      <c r="P39" s="127"/>
      <c r="Q39"/>
    </row>
    <row r="40" spans="2:42" ht="32.25" customHeight="1" thickTop="1" thickBot="1" x14ac:dyDescent="0.35">
      <c r="B40" s="785" t="s">
        <v>64</v>
      </c>
      <c r="C40" s="786"/>
      <c r="D40" s="787"/>
      <c r="E40" s="155">
        <f t="shared" ref="E40:F40" si="4">SUM(E22:E39)</f>
        <v>290.80400000000003</v>
      </c>
      <c r="F40" s="156">
        <f t="shared" si="4"/>
        <v>0.45600000000000007</v>
      </c>
      <c r="G40" s="181">
        <f>SUM(G22:G39)</f>
        <v>-7.9000000000000015E-2</v>
      </c>
      <c r="H40" s="185">
        <f>SUM(H22:H39)</f>
        <v>0.37700000000000011</v>
      </c>
      <c r="I40" s="442">
        <f>SUM(I22:I39)</f>
        <v>94.80900000000004</v>
      </c>
      <c r="J40" s="157">
        <f>SUM(J22:J39)</f>
        <v>111.565</v>
      </c>
      <c r="K40" s="158">
        <f>J40/E40</f>
        <v>0.38364327863440661</v>
      </c>
      <c r="L40" s="159">
        <f>SUM(L22:L39)</f>
        <v>68.173000000000002</v>
      </c>
      <c r="M40" s="160">
        <f>L40/E40</f>
        <v>0.2344293751117591</v>
      </c>
      <c r="N40" s="159">
        <v>77.382999999999996</v>
      </c>
      <c r="O40" s="161" t="s">
        <v>281</v>
      </c>
      <c r="P40" s="499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</row>
    <row r="41" spans="2:42" ht="35.25" customHeight="1" thickTop="1" thickBot="1" x14ac:dyDescent="0.35">
      <c r="B41" s="785" t="s">
        <v>151</v>
      </c>
      <c r="C41" s="786"/>
      <c r="D41" s="787"/>
      <c r="E41" s="155">
        <f>E22+E26+E27+E28+E29+E30+E31+E39</f>
        <v>189.45000000000002</v>
      </c>
      <c r="F41" s="156">
        <f>F22+F26+F27+F28+F29+F30+F31</f>
        <v>0.32500000000000001</v>
      </c>
      <c r="G41" s="181">
        <f>G22+G26+G27+G28+G29+G30+G31+G39</f>
        <v>-4.8000000000000015E-2</v>
      </c>
      <c r="H41" s="181">
        <f>H22+H26+H27+H28+H29+H30+H31+H39</f>
        <v>0.27700000000000002</v>
      </c>
      <c r="I41" s="173">
        <f>I22+I26+I27+I28+I29+I30+I31+I39</f>
        <v>53.445999999999998</v>
      </c>
      <c r="J41" s="159">
        <f>J22+J26+J27+J28+J29+J30+J31+J39</f>
        <v>64.394000000000005</v>
      </c>
      <c r="K41" s="158">
        <f>J41/E41</f>
        <v>0.33989970968593297</v>
      </c>
      <c r="L41" s="159">
        <f>L22+L26+L27+L28+L29+L30+L31+L39</f>
        <v>43.99</v>
      </c>
      <c r="M41" s="160">
        <f>L41/E41</f>
        <v>0.23219846925310106</v>
      </c>
      <c r="N41" s="221">
        <v>48.933999999999997</v>
      </c>
      <c r="O41" s="161" t="s">
        <v>282</v>
      </c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</row>
    <row r="42" spans="2:42" ht="25.5" customHeight="1" thickTop="1" x14ac:dyDescent="0.3">
      <c r="B42" s="248" t="s">
        <v>152</v>
      </c>
    </row>
    <row r="43" spans="2:42" ht="23.25" x14ac:dyDescent="0.35">
      <c r="B43" s="415" t="s">
        <v>283</v>
      </c>
      <c r="K43" s="545">
        <f>'DAILY-ELEV-STR(1)'!W115</f>
        <v>16.55</v>
      </c>
      <c r="L43" s="415" t="s">
        <v>196</v>
      </c>
      <c r="N43" s="165"/>
      <c r="Q43" s="453"/>
      <c r="R43" s="454"/>
      <c r="S43" s="222"/>
    </row>
    <row r="44" spans="2:42" ht="15" x14ac:dyDescent="0.3">
      <c r="J44" s="217"/>
    </row>
    <row r="45" spans="2:42" ht="20.25" x14ac:dyDescent="0.3">
      <c r="B45" s="318"/>
      <c r="F45" s="132"/>
      <c r="G45" s="132"/>
      <c r="H45" s="132"/>
    </row>
    <row r="46" spans="2:42" ht="19.5" customHeight="1" x14ac:dyDescent="0.3">
      <c r="B46" s="165"/>
      <c r="F46" s="132"/>
      <c r="G46" s="132"/>
      <c r="H46" s="132"/>
      <c r="I46" s="217"/>
      <c r="J46" s="217"/>
      <c r="N46" s="129"/>
    </row>
    <row r="47" spans="2:42" ht="19.5" customHeight="1" thickBot="1" x14ac:dyDescent="0.35">
      <c r="N47" s="129"/>
    </row>
    <row r="48" spans="2:42" ht="18.75" x14ac:dyDescent="0.3">
      <c r="B48" s="788" t="s">
        <v>144</v>
      </c>
      <c r="C48" s="789"/>
      <c r="D48" s="789"/>
      <c r="E48" s="789"/>
      <c r="F48" s="789"/>
      <c r="G48" s="789"/>
      <c r="H48" s="789"/>
      <c r="I48" s="789"/>
      <c r="J48" s="789"/>
      <c r="K48" s="789"/>
      <c r="L48" s="789"/>
      <c r="M48" s="789"/>
      <c r="N48" s="789"/>
      <c r="O48" s="790"/>
    </row>
    <row r="49" spans="2:17" ht="20.25" x14ac:dyDescent="0.3">
      <c r="B49" s="294"/>
      <c r="C49" s="293" t="s">
        <v>160</v>
      </c>
      <c r="D49" s="293"/>
      <c r="E49" s="293" t="s">
        <v>173</v>
      </c>
      <c r="F49" s="293" t="s">
        <v>183</v>
      </c>
      <c r="G49" s="293" t="s">
        <v>187</v>
      </c>
      <c r="H49" s="293" t="s">
        <v>188</v>
      </c>
      <c r="I49" s="293" t="s">
        <v>195</v>
      </c>
      <c r="J49" s="291" t="s">
        <v>199</v>
      </c>
      <c r="K49" s="291" t="s">
        <v>206</v>
      </c>
      <c r="L49" s="291" t="s">
        <v>208</v>
      </c>
      <c r="M49" s="291" t="s">
        <v>209</v>
      </c>
      <c r="N49" s="291" t="s">
        <v>261</v>
      </c>
      <c r="O49" s="291" t="s">
        <v>264</v>
      </c>
      <c r="P49" s="127"/>
      <c r="Q49" s="127"/>
    </row>
    <row r="50" spans="2:17" ht="21.75" customHeight="1" x14ac:dyDescent="0.3">
      <c r="B50" s="295" t="s">
        <v>105</v>
      </c>
      <c r="C50" s="321">
        <v>0.315</v>
      </c>
      <c r="D50" s="321">
        <v>0.219</v>
      </c>
      <c r="E50" s="321">
        <v>1.024</v>
      </c>
      <c r="F50" s="321">
        <v>0.247</v>
      </c>
      <c r="G50" s="321">
        <v>0.14199999999999999</v>
      </c>
      <c r="H50" s="321">
        <v>0.85799999999999998</v>
      </c>
      <c r="I50" s="321">
        <v>2.4298378274389072</v>
      </c>
      <c r="J50" s="320">
        <v>0.16500000000000001</v>
      </c>
      <c r="K50" s="320">
        <v>8.4000000000000005E-2</v>
      </c>
      <c r="L50" s="320">
        <v>3.9459999999999997</v>
      </c>
      <c r="M50" s="320">
        <v>0.58300000000000018</v>
      </c>
      <c r="N50" s="320">
        <v>0</v>
      </c>
      <c r="O50" s="320">
        <f>'DAILY-ELEV-STR(1)'!V48</f>
        <v>9.5000000000000001E-2</v>
      </c>
      <c r="P50" s="127"/>
      <c r="Q50" s="127"/>
    </row>
    <row r="51" spans="2:17" ht="21.75" customHeight="1" x14ac:dyDescent="0.3">
      <c r="B51" s="296" t="s">
        <v>106</v>
      </c>
      <c r="C51" s="321">
        <v>0.91500000000000004</v>
      </c>
      <c r="D51" s="321">
        <v>2.2189999999999999</v>
      </c>
      <c r="E51" s="321">
        <v>0.60799999999999998</v>
      </c>
      <c r="F51" s="321">
        <v>0.65700000000000003</v>
      </c>
      <c r="G51" s="321">
        <v>0.61399999999999999</v>
      </c>
      <c r="H51" s="321">
        <v>0.75700000000000001</v>
      </c>
      <c r="I51" s="321">
        <v>1.5453236734428304</v>
      </c>
      <c r="J51" s="320">
        <v>0.94200000000000017</v>
      </c>
      <c r="K51" s="320">
        <v>0.39700000000000008</v>
      </c>
      <c r="L51" s="320">
        <v>2.9759999999999995</v>
      </c>
      <c r="M51" s="320">
        <v>1.5810000000000002</v>
      </c>
      <c r="N51" s="320">
        <v>3.0839999999999987</v>
      </c>
      <c r="O51" s="320">
        <f>'DAILY-ELEV-STR(1)'!V49</f>
        <v>0.20000000000000004</v>
      </c>
      <c r="P51" s="127"/>
      <c r="Q51" s="127"/>
    </row>
    <row r="52" spans="2:17" ht="21.75" customHeight="1" x14ac:dyDescent="0.3">
      <c r="B52" s="296" t="s">
        <v>107</v>
      </c>
      <c r="C52" s="321">
        <v>2.14</v>
      </c>
      <c r="D52" s="321">
        <v>1.3460000000000001</v>
      </c>
      <c r="E52" s="321">
        <v>1.248</v>
      </c>
      <c r="F52" s="321">
        <v>7.4240000000000004</v>
      </c>
      <c r="G52" s="321">
        <v>0.88100000000000001</v>
      </c>
      <c r="H52" s="321">
        <v>16.664999999999999</v>
      </c>
      <c r="I52" s="321">
        <v>30.495000000000001</v>
      </c>
      <c r="J52" s="320">
        <v>3.1070000000000007</v>
      </c>
      <c r="K52" s="320">
        <v>11.922999999999998</v>
      </c>
      <c r="L52" s="320">
        <v>2.9220000000000006</v>
      </c>
      <c r="M52" s="320">
        <v>2.3400000000000007</v>
      </c>
      <c r="N52" s="320">
        <v>5.71</v>
      </c>
      <c r="O52" s="320">
        <f>'DAILY-ELEV-STR(1)'!V50</f>
        <v>1.9030000000000002</v>
      </c>
      <c r="P52" s="127"/>
      <c r="Q52" s="127"/>
    </row>
    <row r="53" spans="2:17" ht="21.75" customHeight="1" x14ac:dyDescent="0.3">
      <c r="B53" s="296" t="s">
        <v>108</v>
      </c>
      <c r="C53" s="321">
        <v>38.353999999999999</v>
      </c>
      <c r="D53" s="321">
        <v>3.2850000000000001</v>
      </c>
      <c r="E53" s="321">
        <v>3.6850000000000001</v>
      </c>
      <c r="F53" s="321">
        <v>21.082999999999998</v>
      </c>
      <c r="G53" s="321">
        <v>20.661000000000001</v>
      </c>
      <c r="H53" s="321">
        <v>118.11</v>
      </c>
      <c r="I53" s="321">
        <v>47.740000000000009</v>
      </c>
      <c r="J53" s="320">
        <v>12.540000000000001</v>
      </c>
      <c r="K53" s="320">
        <v>74.614000000000004</v>
      </c>
      <c r="L53" s="320">
        <v>8.2679999999999989</v>
      </c>
      <c r="M53" s="320">
        <v>7.3000000000000007</v>
      </c>
      <c r="N53" s="320">
        <v>4.0620000000000012</v>
      </c>
      <c r="O53" s="320">
        <f>'DAILY-ELEV-STR(1)'!V51</f>
        <v>12.670000000000002</v>
      </c>
      <c r="P53" s="127"/>
      <c r="Q53" s="127"/>
    </row>
    <row r="54" spans="2:17" ht="21.75" customHeight="1" x14ac:dyDescent="0.3">
      <c r="B54" s="296" t="s">
        <v>109</v>
      </c>
      <c r="C54" s="321">
        <v>44.515000000000001</v>
      </c>
      <c r="D54" s="321">
        <v>9.0890000000000004</v>
      </c>
      <c r="E54" s="321">
        <v>2.8239999999999972</v>
      </c>
      <c r="F54" s="321">
        <v>4.181</v>
      </c>
      <c r="G54" s="321">
        <v>9.5280000000000005</v>
      </c>
      <c r="H54" s="321">
        <v>53.908999999999999</v>
      </c>
      <c r="I54" s="321">
        <v>15.916000000000002</v>
      </c>
      <c r="J54" s="320">
        <v>8.016</v>
      </c>
      <c r="K54" s="320">
        <v>33.962999999999994</v>
      </c>
      <c r="L54" s="320">
        <v>12.603</v>
      </c>
      <c r="M54" s="320">
        <v>6.6760000000000019</v>
      </c>
      <c r="N54" s="320">
        <v>2.4510000000000005</v>
      </c>
      <c r="O54" s="320">
        <f>'DAILY-ELEV-STR(1)'!V52</f>
        <v>24.201000000000004</v>
      </c>
      <c r="P54" s="127"/>
      <c r="Q54" s="127"/>
    </row>
    <row r="55" spans="2:17" ht="21.75" customHeight="1" x14ac:dyDescent="0.3">
      <c r="B55" s="296" t="s">
        <v>110</v>
      </c>
      <c r="C55" s="321">
        <v>17.669</v>
      </c>
      <c r="D55" s="321">
        <v>5.266</v>
      </c>
      <c r="E55" s="321">
        <v>6.1319999999999997</v>
      </c>
      <c r="F55" s="321">
        <v>8.891</v>
      </c>
      <c r="G55" s="321">
        <v>5.944</v>
      </c>
      <c r="H55" s="321">
        <v>32.283000000000001</v>
      </c>
      <c r="I55" s="321">
        <v>15.670000000000002</v>
      </c>
      <c r="J55" s="320">
        <v>6.0219999999999994</v>
      </c>
      <c r="K55" s="320">
        <v>19.801000000000002</v>
      </c>
      <c r="L55" s="320">
        <v>9.5170000000000012</v>
      </c>
      <c r="M55" s="320">
        <v>2.9200000000000004</v>
      </c>
      <c r="N55" s="320">
        <v>1.4649999999999996</v>
      </c>
      <c r="O55" s="320">
        <f>'DAILY-ELEV-STR(1)'!V53</f>
        <v>35.414000000000001</v>
      </c>
      <c r="P55" s="127"/>
      <c r="Q55" s="127"/>
    </row>
    <row r="56" spans="2:17" ht="21.75" customHeight="1" x14ac:dyDescent="0.3">
      <c r="B56" s="296" t="s">
        <v>115</v>
      </c>
      <c r="C56" s="321">
        <v>8.2330000000000005</v>
      </c>
      <c r="D56" s="321">
        <v>1.5640000000000001</v>
      </c>
      <c r="E56" s="321">
        <v>1.3140000000000001</v>
      </c>
      <c r="F56" s="321">
        <v>4.3979999999999997</v>
      </c>
      <c r="G56" s="321">
        <v>2.1760000000000002</v>
      </c>
      <c r="H56" s="321">
        <v>25.326000000000001</v>
      </c>
      <c r="I56" s="321">
        <v>11.062000000000003</v>
      </c>
      <c r="J56" s="320">
        <v>4.1559999999999988</v>
      </c>
      <c r="K56" s="320">
        <v>8.1390000000000029</v>
      </c>
      <c r="L56" s="320">
        <v>4.7410000000000005</v>
      </c>
      <c r="M56" s="320">
        <v>1.8010000000000004</v>
      </c>
      <c r="N56" s="320">
        <v>1.0959999999999999</v>
      </c>
      <c r="O56" s="320">
        <f>'DAILY-ELEV-STR(1)'!V45</f>
        <v>20.325999999999997</v>
      </c>
      <c r="P56" s="127"/>
      <c r="Q56" s="127"/>
    </row>
    <row r="57" spans="2:17" ht="21.75" customHeight="1" x14ac:dyDescent="0.3">
      <c r="B57" s="296" t="s">
        <v>111</v>
      </c>
      <c r="C57" s="321">
        <v>3.137</v>
      </c>
      <c r="D57" s="321">
        <v>0.47899999999999998</v>
      </c>
      <c r="E57" s="321">
        <v>0.96099999999999997</v>
      </c>
      <c r="F57" s="321">
        <v>1.78</v>
      </c>
      <c r="G57" s="321">
        <v>2.802</v>
      </c>
      <c r="H57" s="321">
        <v>8.868999999999998</v>
      </c>
      <c r="I57" s="321">
        <v>7.3170000000000002</v>
      </c>
      <c r="J57" s="320">
        <v>0.89900000000000024</v>
      </c>
      <c r="K57" s="320">
        <v>3.4400000000000004</v>
      </c>
      <c r="L57" s="320">
        <v>2.7279999999999998</v>
      </c>
      <c r="M57" s="320">
        <v>0.91000000000000036</v>
      </c>
      <c r="N57" s="320">
        <v>0.71600000000000019</v>
      </c>
      <c r="O57" s="320">
        <f>'DAILY-ELEV-STR(1)'!V55</f>
        <v>0</v>
      </c>
      <c r="P57" s="127"/>
      <c r="Q57" s="127"/>
    </row>
    <row r="58" spans="2:17" ht="21.75" customHeight="1" x14ac:dyDescent="0.3">
      <c r="B58" s="297" t="s">
        <v>112</v>
      </c>
      <c r="C58" s="321">
        <v>0.97599999999999998</v>
      </c>
      <c r="D58" s="321">
        <v>5.3999999999999999E-2</v>
      </c>
      <c r="E58" s="321">
        <v>0.105</v>
      </c>
      <c r="F58" s="321">
        <v>0.22800000000000001</v>
      </c>
      <c r="G58" s="321">
        <v>2.0219999999999998</v>
      </c>
      <c r="H58" s="321">
        <v>6.1989999999999998</v>
      </c>
      <c r="I58" s="321">
        <v>2.7469999999999999</v>
      </c>
      <c r="J58" s="320">
        <v>0.192</v>
      </c>
      <c r="K58" s="320">
        <v>1.2640000000000002</v>
      </c>
      <c r="L58" s="320">
        <v>0.89100000000000013</v>
      </c>
      <c r="M58" s="320">
        <v>0.29700000000000004</v>
      </c>
      <c r="N58" s="320">
        <v>7.6000000000000012E-2</v>
      </c>
      <c r="O58" s="320">
        <f>'DAILY-ELEV-STR(1)'!V56</f>
        <v>0</v>
      </c>
      <c r="P58" s="127"/>
      <c r="Q58" s="127"/>
    </row>
    <row r="59" spans="2:17" ht="21.75" customHeight="1" x14ac:dyDescent="0.3">
      <c r="B59" s="297" t="s">
        <v>113</v>
      </c>
      <c r="C59" s="321">
        <v>9.0999999999999998E-2</v>
      </c>
      <c r="D59" s="321">
        <v>0.51100000000000001</v>
      </c>
      <c r="E59" s="321">
        <v>0</v>
      </c>
      <c r="F59" s="321">
        <v>0</v>
      </c>
      <c r="G59" s="321">
        <v>0.05</v>
      </c>
      <c r="H59" s="321">
        <v>1.524</v>
      </c>
      <c r="I59" s="321">
        <v>0.86600000000000021</v>
      </c>
      <c r="J59" s="320">
        <v>2.4E-2</v>
      </c>
      <c r="K59" s="320">
        <v>9.2999999999999999E-2</v>
      </c>
      <c r="L59" s="320">
        <v>0</v>
      </c>
      <c r="M59" s="320">
        <v>9.8000000000000004E-2</v>
      </c>
      <c r="N59" s="320">
        <v>0</v>
      </c>
      <c r="O59" s="320">
        <f>'DAILY-ELEV-STR(1)'!V57</f>
        <v>0</v>
      </c>
      <c r="P59" s="127"/>
      <c r="Q59" s="127"/>
    </row>
    <row r="60" spans="2:17" ht="21.75" customHeight="1" thickBot="1" x14ac:dyDescent="0.35">
      <c r="B60" s="298" t="s">
        <v>120</v>
      </c>
      <c r="C60" s="322">
        <v>7.0000000000000001E-3</v>
      </c>
      <c r="D60" s="322">
        <v>0</v>
      </c>
      <c r="E60" s="322">
        <v>6.0000000000000001E-3</v>
      </c>
      <c r="F60" s="322">
        <v>0</v>
      </c>
      <c r="G60" s="322">
        <v>7.6999999999999999E-2</v>
      </c>
      <c r="H60" s="322">
        <v>0.54209980586723205</v>
      </c>
      <c r="I60" s="322">
        <v>0.161</v>
      </c>
      <c r="J60" s="292">
        <v>3.5000000000000003E-2</v>
      </c>
      <c r="K60" s="320">
        <v>3.4999999999999996E-2</v>
      </c>
      <c r="L60" s="320">
        <v>0.186</v>
      </c>
      <c r="M60" s="320">
        <v>0.20799999999999999</v>
      </c>
      <c r="N60" s="320">
        <v>4.0000000000000001E-3</v>
      </c>
      <c r="O60" s="320">
        <f>'DAILY-ELEV-STR(1)'!V58+'DAILY-ELEV-STR(1)'!V59</f>
        <v>0</v>
      </c>
      <c r="P60" s="127"/>
      <c r="Q60" s="127"/>
    </row>
    <row r="61" spans="2:17" ht="21" thickBot="1" x14ac:dyDescent="0.35">
      <c r="B61" s="299" t="s">
        <v>114</v>
      </c>
      <c r="C61" s="235">
        <f>SUM(C50:C60)</f>
        <v>116.352</v>
      </c>
      <c r="D61" s="235"/>
      <c r="E61" s="235">
        <f t="shared" ref="E61:O61" si="5">SUM(E50:E60)</f>
        <v>17.906999999999993</v>
      </c>
      <c r="F61" s="235">
        <f t="shared" si="5"/>
        <v>48.889000000000003</v>
      </c>
      <c r="G61" s="235">
        <f t="shared" si="5"/>
        <v>44.896999999999998</v>
      </c>
      <c r="H61" s="235">
        <f t="shared" si="5"/>
        <v>265.04209980586722</v>
      </c>
      <c r="I61" s="235">
        <f t="shared" si="5"/>
        <v>135.94916150088179</v>
      </c>
      <c r="J61" s="235">
        <f t="shared" si="5"/>
        <v>36.097999999999999</v>
      </c>
      <c r="K61" s="235">
        <f t="shared" si="5"/>
        <v>153.75299999999999</v>
      </c>
      <c r="L61" s="235">
        <f t="shared" si="5"/>
        <v>48.777999999999999</v>
      </c>
      <c r="M61" s="235">
        <f t="shared" si="5"/>
        <v>24.714000000000006</v>
      </c>
      <c r="N61" s="213">
        <f t="shared" si="5"/>
        <v>18.664000000000001</v>
      </c>
      <c r="O61" s="213">
        <f t="shared" si="5"/>
        <v>94.808999999999997</v>
      </c>
    </row>
    <row r="62" spans="2:17" ht="18" customHeight="1" x14ac:dyDescent="0.3">
      <c r="B62" s="166" t="s">
        <v>125</v>
      </c>
      <c r="C62" s="129"/>
      <c r="D62" s="129"/>
      <c r="J62" s="130"/>
    </row>
    <row r="63" spans="2:17" ht="18.75" customHeight="1" x14ac:dyDescent="0.3">
      <c r="C63" s="102"/>
      <c r="D63" s="102"/>
      <c r="H63" s="132"/>
      <c r="O63" s="131"/>
    </row>
    <row r="64" spans="2:17" ht="32.25" customHeight="1" x14ac:dyDescent="0.3">
      <c r="B64" s="88"/>
      <c r="C64" s="165"/>
      <c r="D64" s="102"/>
      <c r="H64" s="132"/>
    </row>
    <row r="65" spans="2:15" ht="32.25" customHeight="1" x14ac:dyDescent="0.3">
      <c r="I65" s="232"/>
      <c r="O65" s="232"/>
    </row>
    <row r="69" spans="2:15" ht="32.25" customHeight="1" x14ac:dyDescent="0.35">
      <c r="B69" s="233"/>
    </row>
    <row r="70" spans="2:15" ht="32.25" customHeight="1" x14ac:dyDescent="0.35">
      <c r="B70" s="415"/>
    </row>
    <row r="71" spans="2:15" ht="32.25" customHeight="1" x14ac:dyDescent="0.35">
      <c r="B71" s="415"/>
      <c r="C71" s="317"/>
      <c r="D71" s="317"/>
      <c r="E71" s="317"/>
      <c r="F71" s="317"/>
      <c r="G71" s="317"/>
      <c r="J71" s="415"/>
    </row>
    <row r="72" spans="2:15" ht="32.25" customHeight="1" x14ac:dyDescent="0.35">
      <c r="B72" s="233"/>
    </row>
    <row r="73" spans="2:15" ht="32.25" customHeight="1" x14ac:dyDescent="0.35">
      <c r="B73" s="233"/>
    </row>
  </sheetData>
  <mergeCells count="27">
    <mergeCell ref="B23:D23"/>
    <mergeCell ref="F14:I14"/>
    <mergeCell ref="B22:D22"/>
    <mergeCell ref="B15:D15"/>
    <mergeCell ref="J13:M13"/>
    <mergeCell ref="F13:I13"/>
    <mergeCell ref="J15:K15"/>
    <mergeCell ref="L15:M15"/>
    <mergeCell ref="B28:D28"/>
    <mergeCell ref="B29:D29"/>
    <mergeCell ref="B24:D24"/>
    <mergeCell ref="B26:D26"/>
    <mergeCell ref="B27:D27"/>
    <mergeCell ref="B25:D25"/>
    <mergeCell ref="B41:D41"/>
    <mergeCell ref="B40:D40"/>
    <mergeCell ref="B34:D34"/>
    <mergeCell ref="B33:D33"/>
    <mergeCell ref="B48:O48"/>
    <mergeCell ref="B35:D35"/>
    <mergeCell ref="B36:D36"/>
    <mergeCell ref="B37:D37"/>
    <mergeCell ref="B30:D30"/>
    <mergeCell ref="B31:D31"/>
    <mergeCell ref="B32:D32"/>
    <mergeCell ref="B38:D38"/>
    <mergeCell ref="B39:D39"/>
  </mergeCells>
  <phoneticPr fontId="0" type="noConversion"/>
  <printOptions horizontalCentered="1" gridLinesSet="0"/>
  <pageMargins left="0.19685039370078741" right="0.15748031496062992" top="0.55118110236220474" bottom="0.55118110236220474" header="0.31496062992125984" footer="0.55118110236220474"/>
  <pageSetup paperSize="9" scale="48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B2:AX77"/>
  <sheetViews>
    <sheetView showGridLines="0" topLeftCell="A37" zoomScale="62" zoomScaleNormal="62" workbookViewId="0">
      <selection activeCell="I28" sqref="I28"/>
    </sheetView>
  </sheetViews>
  <sheetFormatPr defaultColWidth="9.28515625" defaultRowHeight="32.25" customHeight="1" x14ac:dyDescent="0.3"/>
  <cols>
    <col min="1" max="1" width="9.28515625" style="100" customWidth="1"/>
    <col min="2" max="2" width="19.28515625" style="100" customWidth="1"/>
    <col min="3" max="3" width="17.28515625" style="100" bestFit="1" customWidth="1"/>
    <col min="4" max="5" width="16.85546875" style="100" customWidth="1"/>
    <col min="6" max="6" width="19.85546875" style="100" customWidth="1"/>
    <col min="7" max="7" width="17.85546875" style="100" customWidth="1"/>
    <col min="8" max="8" width="19" style="100" customWidth="1"/>
    <col min="9" max="9" width="17.5703125" style="100" bestFit="1" customWidth="1"/>
    <col min="10" max="10" width="17.5703125" style="100" customWidth="1"/>
    <col min="11" max="11" width="16.85546875" style="100" customWidth="1"/>
    <col min="12" max="12" width="17.5703125" style="100" customWidth="1"/>
    <col min="13" max="13" width="16.85546875" style="100" customWidth="1"/>
    <col min="14" max="14" width="17.5703125" style="100" customWidth="1"/>
    <col min="15" max="15" width="26.140625" style="100" customWidth="1"/>
    <col min="16" max="16" width="10.140625" style="100" bestFit="1" customWidth="1"/>
    <col min="17" max="16384" width="9.28515625" style="100"/>
  </cols>
  <sheetData>
    <row r="2" spans="2:16" ht="16.5" x14ac:dyDescent="0.3">
      <c r="B2" s="101"/>
      <c r="C2" s="101"/>
    </row>
    <row r="3" spans="2:16" ht="16.5" x14ac:dyDescent="0.3">
      <c r="B3" s="101"/>
      <c r="C3" s="101"/>
    </row>
    <row r="4" spans="2:16" ht="16.5" x14ac:dyDescent="0.3">
      <c r="B4" s="101"/>
      <c r="C4" s="101"/>
    </row>
    <row r="5" spans="2:16" ht="32.25" customHeight="1" x14ac:dyDescent="0.3">
      <c r="B5" s="101"/>
      <c r="C5" s="101"/>
      <c r="L5" s="194"/>
    </row>
    <row r="6" spans="2:16" ht="16.5" x14ac:dyDescent="0.3">
      <c r="B6" s="101"/>
      <c r="C6" s="101"/>
    </row>
    <row r="7" spans="2:16" ht="16.5" x14ac:dyDescent="0.3">
      <c r="B7" s="101"/>
      <c r="C7" s="101"/>
    </row>
    <row r="8" spans="2:16" ht="16.5" x14ac:dyDescent="0.3">
      <c r="B8" s="102"/>
      <c r="C8" s="102"/>
      <c r="D8" s="102"/>
      <c r="K8" s="100" t="s">
        <v>0</v>
      </c>
    </row>
    <row r="9" spans="2:16" ht="18.75" x14ac:dyDescent="0.3">
      <c r="B9" s="102"/>
      <c r="C9" s="102"/>
      <c r="D9" s="135"/>
      <c r="E9" s="166"/>
      <c r="F9" s="166"/>
      <c r="G9" s="166"/>
      <c r="H9" s="104"/>
      <c r="I9" s="104"/>
      <c r="J9" s="104"/>
      <c r="K9" s="104"/>
      <c r="L9" s="104"/>
      <c r="M9" s="104"/>
      <c r="N9" s="104"/>
    </row>
    <row r="10" spans="2:16" ht="20.25" x14ac:dyDescent="0.3">
      <c r="B10" s="257" t="s">
        <v>201</v>
      </c>
      <c r="C10" s="105"/>
      <c r="D10" s="104"/>
      <c r="E10" s="104"/>
      <c r="F10" s="429"/>
      <c r="G10" s="104"/>
      <c r="H10" s="104"/>
      <c r="I10" s="106"/>
      <c r="J10" s="106"/>
      <c r="K10" s="106"/>
      <c r="L10" s="104"/>
      <c r="M10" s="104"/>
      <c r="N10" s="104"/>
    </row>
    <row r="11" spans="2:16" ht="20.25" x14ac:dyDescent="0.3">
      <c r="B11" s="257" t="s">
        <v>202</v>
      </c>
      <c r="C11" s="105"/>
      <c r="D11" s="103"/>
      <c r="E11" s="105"/>
      <c r="F11" s="257"/>
      <c r="G11" s="105"/>
      <c r="H11" s="105"/>
      <c r="I11" s="104"/>
      <c r="J11" s="104"/>
      <c r="K11" s="104"/>
      <c r="N11" s="136"/>
      <c r="P11"/>
    </row>
    <row r="12" spans="2:16" ht="17.25" thickBot="1" x14ac:dyDescent="0.35">
      <c r="C12" s="105"/>
      <c r="D12" s="103"/>
      <c r="E12" s="105"/>
      <c r="F12" s="105"/>
      <c r="G12" s="105"/>
      <c r="H12" s="105"/>
      <c r="I12" s="104"/>
      <c r="J12" s="104"/>
      <c r="K12" s="104"/>
      <c r="M12" s="830">
        <f>'ΚΑΤΑΧΩΡΗΣΗ-ΕΛΕΓΧΟΣ(2)'!O12</f>
        <v>46135</v>
      </c>
      <c r="N12" s="831"/>
    </row>
    <row r="13" spans="2:16" ht="19.5" thickTop="1" x14ac:dyDescent="0.3">
      <c r="B13" s="107"/>
      <c r="C13" s="108"/>
      <c r="D13" s="109"/>
      <c r="E13" s="840" t="s">
        <v>143</v>
      </c>
      <c r="F13" s="841"/>
      <c r="G13" s="841"/>
      <c r="H13" s="842"/>
      <c r="I13" s="846" t="s">
        <v>118</v>
      </c>
      <c r="J13" s="841"/>
      <c r="K13" s="841"/>
      <c r="L13" s="842"/>
      <c r="M13" s="399"/>
      <c r="N13" s="200"/>
    </row>
    <row r="14" spans="2:16" ht="20.25" x14ac:dyDescent="0.3">
      <c r="B14" s="111"/>
      <c r="C14" s="112"/>
      <c r="D14" s="423" t="s">
        <v>81</v>
      </c>
      <c r="E14" s="843"/>
      <c r="F14" s="844"/>
      <c r="G14" s="844"/>
      <c r="H14" s="845"/>
      <c r="I14" s="847"/>
      <c r="J14" s="848"/>
      <c r="K14" s="848"/>
      <c r="L14" s="849"/>
      <c r="M14" s="419" t="s">
        <v>88</v>
      </c>
      <c r="N14" s="420"/>
    </row>
    <row r="15" spans="2:16" ht="23.25" x14ac:dyDescent="0.35">
      <c r="B15" s="834" t="s">
        <v>78</v>
      </c>
      <c r="C15" s="835"/>
      <c r="D15" s="423" t="s">
        <v>82</v>
      </c>
      <c r="E15" s="422" t="s">
        <v>133</v>
      </c>
      <c r="F15" s="176" t="s">
        <v>137</v>
      </c>
      <c r="G15" s="424" t="s">
        <v>134</v>
      </c>
      <c r="H15" s="425" t="s">
        <v>85</v>
      </c>
      <c r="I15" s="836" t="s">
        <v>119</v>
      </c>
      <c r="J15" s="837"/>
      <c r="K15" s="838" t="s">
        <v>87</v>
      </c>
      <c r="L15" s="839"/>
      <c r="M15" s="419" t="s">
        <v>77</v>
      </c>
      <c r="N15" s="420"/>
    </row>
    <row r="16" spans="2:16" ht="20.25" x14ac:dyDescent="0.3">
      <c r="B16" s="111"/>
      <c r="C16" s="112"/>
      <c r="D16" s="113"/>
      <c r="E16" s="549" t="str">
        <f>'ΚΑΤΑΧΩΡΗΣΗ-ΕΛΕΓΧΟΣ(2)'!F16</f>
        <v>24ώρου</v>
      </c>
      <c r="F16" s="177" t="s">
        <v>138</v>
      </c>
      <c r="G16" s="426" t="s">
        <v>135</v>
      </c>
      <c r="H16" s="427" t="s">
        <v>133</v>
      </c>
      <c r="I16" s="386"/>
      <c r="J16" s="265"/>
      <c r="K16" s="273"/>
      <c r="L16" s="265"/>
      <c r="M16" s="165"/>
      <c r="N16" s="420"/>
    </row>
    <row r="17" spans="2:28" ht="20.25" x14ac:dyDescent="0.3">
      <c r="B17" s="111"/>
      <c r="C17" s="112"/>
      <c r="D17" s="113"/>
      <c r="E17" s="356"/>
      <c r="F17" s="177" t="s">
        <v>132</v>
      </c>
      <c r="G17" s="426" t="s">
        <v>136</v>
      </c>
      <c r="H17" s="428"/>
      <c r="I17" s="386"/>
      <c r="J17" s="417" t="s">
        <v>74</v>
      </c>
      <c r="K17" s="418"/>
      <c r="L17" s="417" t="s">
        <v>74</v>
      </c>
      <c r="M17" s="419">
        <f>'ΚΑΤΑΧΩΡΗΣΗ-ΕΛΕΓΧΟΣ(2)'!N17</f>
        <v>2025</v>
      </c>
      <c r="N17" s="420"/>
    </row>
    <row r="18" spans="2:28" ht="20.25" x14ac:dyDescent="0.3">
      <c r="B18" s="111"/>
      <c r="C18" s="112"/>
      <c r="D18" s="113"/>
      <c r="E18" s="371"/>
      <c r="F18" s="177" t="s">
        <v>139</v>
      </c>
      <c r="G18" s="426" t="s">
        <v>141</v>
      </c>
      <c r="H18" s="428"/>
      <c r="I18" s="386"/>
      <c r="J18" s="417" t="s">
        <v>75</v>
      </c>
      <c r="K18" s="418"/>
      <c r="L18" s="417" t="s">
        <v>75</v>
      </c>
      <c r="M18" s="421"/>
      <c r="N18" s="420"/>
      <c r="P18"/>
    </row>
    <row r="19" spans="2:28" ht="18.75" x14ac:dyDescent="0.3">
      <c r="B19" s="111"/>
      <c r="C19" s="112"/>
      <c r="D19" s="113"/>
      <c r="E19" s="371"/>
      <c r="F19" s="177" t="s">
        <v>140</v>
      </c>
      <c r="G19" s="426" t="s">
        <v>142</v>
      </c>
      <c r="H19" s="428"/>
      <c r="I19" s="386"/>
      <c r="J19" s="265"/>
      <c r="K19" s="273"/>
      <c r="L19" s="265"/>
      <c r="M19" s="114"/>
      <c r="N19" s="115"/>
    </row>
    <row r="20" spans="2:28" ht="17.25" x14ac:dyDescent="0.3">
      <c r="B20" s="111"/>
      <c r="C20" s="112"/>
      <c r="D20" s="113"/>
      <c r="E20" s="371"/>
      <c r="F20" s="177" t="s">
        <v>150</v>
      </c>
      <c r="G20" s="187"/>
      <c r="H20" s="377" t="s">
        <v>131</v>
      </c>
      <c r="I20" s="386"/>
      <c r="J20" s="265"/>
      <c r="K20" s="273"/>
      <c r="L20" s="265"/>
      <c r="M20" s="195"/>
      <c r="N20" s="119"/>
      <c r="P20"/>
    </row>
    <row r="21" spans="2:28" ht="21" thickBot="1" x14ac:dyDescent="0.35">
      <c r="B21" s="120"/>
      <c r="C21" s="121"/>
      <c r="D21" s="122" t="s">
        <v>83</v>
      </c>
      <c r="E21" s="372" t="s">
        <v>83</v>
      </c>
      <c r="F21" s="207" t="str">
        <f>E16</f>
        <v>24ώρου</v>
      </c>
      <c r="G21" s="207" t="str">
        <f>E16</f>
        <v>24ώρου</v>
      </c>
      <c r="H21" s="523" t="str">
        <f>'ΚΑΤΑΧΩΡΗΣΗ-ΕΛΕΓΧΟΣ(2)'!I21</f>
        <v>1/10/2025</v>
      </c>
      <c r="I21" s="387" t="s">
        <v>86</v>
      </c>
      <c r="J21" s="266" t="s">
        <v>57</v>
      </c>
      <c r="K21" s="370" t="s">
        <v>86</v>
      </c>
      <c r="L21" s="266" t="s">
        <v>57</v>
      </c>
      <c r="M21" s="400" t="s">
        <v>83</v>
      </c>
      <c r="N21" s="124" t="s">
        <v>104</v>
      </c>
      <c r="O21" s="171"/>
      <c r="P21"/>
      <c r="Q21" s="243"/>
      <c r="R21" s="171"/>
    </row>
    <row r="22" spans="2:28" ht="33" customHeight="1" thickTop="1" x14ac:dyDescent="0.35">
      <c r="B22" s="412" t="s">
        <v>168</v>
      </c>
      <c r="C22" s="414"/>
      <c r="D22" s="413"/>
      <c r="E22" s="373"/>
      <c r="F22" s="305"/>
      <c r="G22" s="306"/>
      <c r="H22" s="378"/>
      <c r="I22" s="388"/>
      <c r="J22" s="389"/>
      <c r="K22" s="307"/>
      <c r="L22" s="389"/>
      <c r="M22" s="401"/>
      <c r="N22" s="308"/>
      <c r="O22" s="171"/>
      <c r="P22"/>
      <c r="Q22" s="243"/>
      <c r="R22" s="171"/>
    </row>
    <row r="23" spans="2:28" ht="33" customHeight="1" x14ac:dyDescent="0.35">
      <c r="B23" s="832" t="s">
        <v>89</v>
      </c>
      <c r="C23" s="833"/>
      <c r="D23" s="309">
        <v>115</v>
      </c>
      <c r="E23" s="374">
        <f>'DAILY-ELEV-STR(1)'!D44</f>
        <v>0.12</v>
      </c>
      <c r="F23" s="300">
        <f>'ΚΑΤΑΧΩΡΗΣΗ-ΕΛΕΓΧΟΣ(2)'!G22</f>
        <v>6.7000000000000004E-2</v>
      </c>
      <c r="G23" s="301">
        <f>SUM(E23:F23)</f>
        <v>0.187</v>
      </c>
      <c r="H23" s="379">
        <f>'DAILY-ELEV-STR(1)'!D46</f>
        <v>19.484999999999999</v>
      </c>
      <c r="I23" s="390">
        <f>'DAILY-ELEV-STR(1)'!D61</f>
        <v>41.866999999999997</v>
      </c>
      <c r="J23" s="391">
        <f>I23/D23*100</f>
        <v>36.40608695652174</v>
      </c>
      <c r="K23" s="383">
        <f>'ΚΑΤΑΧΩΡΗΣΗ-ΕΛΕΓΧΟΣ(2)'!L22</f>
        <v>22.007999999999999</v>
      </c>
      <c r="L23" s="403">
        <f>K23/D23*100</f>
        <v>19.137391304347826</v>
      </c>
      <c r="M23" s="402">
        <f>'ΚΑΤΑΧΩΡΗΣΗ-ΕΛΕΓΧΟΣ(2)'!N22</f>
        <v>25.538</v>
      </c>
      <c r="N23" s="524" t="str">
        <f>'ΚΑΤΑΧΩΡΗΣΗ-ΕΛΕΓΧΟΣ(2)'!O22</f>
        <v>7/1</v>
      </c>
      <c r="O23" s="171"/>
      <c r="P23" s="441"/>
      <c r="Q23" s="171"/>
      <c r="R23" s="208"/>
    </row>
    <row r="24" spans="2:28" ht="33" customHeight="1" x14ac:dyDescent="0.35">
      <c r="B24" s="822" t="s">
        <v>92</v>
      </c>
      <c r="C24" s="823"/>
      <c r="D24" s="303">
        <v>17.100000000000001</v>
      </c>
      <c r="E24" s="375">
        <f>'DAILY-ELEV-STR(1)'!H44</f>
        <v>3.3000000000000002E-2</v>
      </c>
      <c r="F24" s="302">
        <f>'ΚΑΤΑΧΩΡΗΣΗ-ΕΛΕΓΧΟΣ(2)'!G26</f>
        <v>-3.0000000000000001E-3</v>
      </c>
      <c r="G24" s="301">
        <f t="shared" ref="G24:G29" si="0">SUM(E24:F24)</f>
        <v>3.0000000000000002E-2</v>
      </c>
      <c r="H24" s="380">
        <f>'DAILY-ELEV-STR(1)'!H46</f>
        <v>3.319</v>
      </c>
      <c r="I24" s="392">
        <f>'DAILY-ELEV-STR(1)'!H61</f>
        <v>3.5720000000000001</v>
      </c>
      <c r="J24" s="393">
        <f t="shared" ref="J24:J31" si="1">I24/D24*100</f>
        <v>20.888888888888886</v>
      </c>
      <c r="K24" s="384">
        <f>'ΚΑΤΑΧΩΡΗΣΗ-ΕΛΕΓΧΟΣ(2)'!L26</f>
        <v>4.5069999999999997</v>
      </c>
      <c r="L24" s="404">
        <f t="shared" ref="L24:L31" si="2">K24/D24*100</f>
        <v>26.35672514619883</v>
      </c>
      <c r="M24" s="311">
        <f>'ΚΑΤΑΧΩΡΗΣΗ-ΕΛΕΓΧΟΣ(2)'!N26</f>
        <v>4.726</v>
      </c>
      <c r="N24" s="524" t="str">
        <f>'ΚΑΤΑΧΩΡΗΣΗ-ΕΛΕΓΧΟΣ(2)'!O26</f>
        <v>28/3</v>
      </c>
      <c r="O24" s="171"/>
      <c r="P24" s="441"/>
      <c r="Q24" s="171"/>
      <c r="R24" s="208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</row>
    <row r="25" spans="2:28" ht="33" customHeight="1" x14ac:dyDescent="0.35">
      <c r="B25" s="822" t="s">
        <v>93</v>
      </c>
      <c r="C25" s="823"/>
      <c r="D25" s="303">
        <v>13.85</v>
      </c>
      <c r="E25" s="375">
        <f>'DAILY-ELEV-STR(1)'!I44</f>
        <v>8.9999999999999993E-3</v>
      </c>
      <c r="F25" s="302">
        <f>'ΚΑΤΑΧΩΡΗΣΗ-ΕΛΕΓΧΟΣ(2)'!G27</f>
        <v>-2E-3</v>
      </c>
      <c r="G25" s="301">
        <f>SUM(E25:F25)</f>
        <v>6.9999999999999993E-3</v>
      </c>
      <c r="H25" s="380">
        <f>'DAILY-ELEV-STR(1)'!I46</f>
        <v>1.5150000000000001</v>
      </c>
      <c r="I25" s="392">
        <f>'DAILY-ELEV-STR(1)'!I61</f>
        <v>2.4449999999999998</v>
      </c>
      <c r="J25" s="393">
        <f t="shared" si="1"/>
        <v>17.653429602888085</v>
      </c>
      <c r="K25" s="384">
        <f>'ΚΑΤΑΧΩΡΗΣΗ-ΕΛΕΓΧΟΣ(2)'!L27</f>
        <v>3.2869999999999999</v>
      </c>
      <c r="L25" s="404">
        <f t="shared" si="2"/>
        <v>23.732851985559567</v>
      </c>
      <c r="M25" s="311">
        <f>'ΚΑΤΑΧΩΡΗΣΗ-ΕΛΕΓΧΟΣ(2)'!N27</f>
        <v>5.6509999999999998</v>
      </c>
      <c r="N25" s="524" t="str">
        <f>'ΚΑΤΑΧΩΡΗΣΗ-ΕΛΕΓΧΟΣ(2)'!O27</f>
        <v>1/1</v>
      </c>
      <c r="O25" s="171"/>
      <c r="P25" s="441"/>
      <c r="Q25" s="171"/>
      <c r="R25" s="208"/>
    </row>
    <row r="26" spans="2:28" ht="33" customHeight="1" x14ac:dyDescent="0.35">
      <c r="B26" s="822" t="s">
        <v>94</v>
      </c>
      <c r="C26" s="823"/>
      <c r="D26" s="303">
        <v>15.5</v>
      </c>
      <c r="E26" s="375">
        <f>'DAILY-ELEV-STR(1)'!J44</f>
        <v>2.1000000000000005E-2</v>
      </c>
      <c r="F26" s="302">
        <f>'ΚΑΤΑΧΩΡΗΣΗ-ΕΛΕΓΧΟΣ(2)'!G28</f>
        <v>-1.0000000000000009E-3</v>
      </c>
      <c r="G26" s="301">
        <f>SUM(E26:F26)</f>
        <v>2.0000000000000004E-2</v>
      </c>
      <c r="H26" s="380">
        <f>'DAILY-ELEV-STR(1)'!J46</f>
        <v>3.157</v>
      </c>
      <c r="I26" s="392">
        <f>'DAILY-ELEV-STR(1)'!J61</f>
        <v>5.7640000000000002</v>
      </c>
      <c r="J26" s="393">
        <f t="shared" si="1"/>
        <v>37.187096774193549</v>
      </c>
      <c r="K26" s="384">
        <f>'ΚΑΤΑΧΩΡΗΣΗ-ΕΛΕΓΧΟΣ(2)'!L28</f>
        <v>5.78</v>
      </c>
      <c r="L26" s="404">
        <f t="shared" si="2"/>
        <v>37.29032258064516</v>
      </c>
      <c r="M26" s="311">
        <f>'ΚΑΤΑΧΩΡΗΣΗ-ΕΛΕΓΧΟΣ(2)'!N28</f>
        <v>5.9939999999999998</v>
      </c>
      <c r="N26" s="524" t="str">
        <f>'ΚΑΤΑΧΩΡΗΣΗ-ΕΛΕΓΧΟΣ(2)'!O28</f>
        <v>30/5</v>
      </c>
      <c r="O26" s="171"/>
      <c r="P26" s="441"/>
      <c r="Q26" s="171"/>
      <c r="R26" s="208"/>
    </row>
    <row r="27" spans="2:28" ht="33" customHeight="1" x14ac:dyDescent="0.35">
      <c r="B27" s="822" t="s">
        <v>95</v>
      </c>
      <c r="C27" s="823"/>
      <c r="D27" s="303">
        <v>13.5</v>
      </c>
      <c r="E27" s="375">
        <f>'DAILY-ELEV-STR(1)'!K44</f>
        <v>3.3000000000000002E-2</v>
      </c>
      <c r="F27" s="302">
        <f>'ΚΑΤΑΧΩΡΗΣΗ-ΕΛΕΓΧΟΣ(2)'!G29</f>
        <v>-4.0000000000000001E-3</v>
      </c>
      <c r="G27" s="301">
        <f t="shared" si="0"/>
        <v>2.9000000000000001E-2</v>
      </c>
      <c r="H27" s="380">
        <f>'DAILY-ELEV-STR(1)'!K46</f>
        <v>7.5129999999999999</v>
      </c>
      <c r="I27" s="392">
        <f>'DAILY-ELEV-STR(1)'!K61</f>
        <v>7.1320000000000006</v>
      </c>
      <c r="J27" s="393">
        <f t="shared" si="1"/>
        <v>52.829629629629636</v>
      </c>
      <c r="K27" s="384">
        <f>'ΚΑΤΑΧΩΡΗΣΗ-ΕΛΕΓΧΟΣ(2)'!L29</f>
        <v>3.3809999999999998</v>
      </c>
      <c r="L27" s="404">
        <f t="shared" si="2"/>
        <v>25.044444444444441</v>
      </c>
      <c r="M27" s="311">
        <f>'ΚΑΤΑΧΩΡΗΣΗ-ΕΛΕΓΧΟΣ(2)'!N29</f>
        <v>3.7949999999999999</v>
      </c>
      <c r="N27" s="524" t="str">
        <f>'ΚΑΤΑΧΩΡΗΣΗ-ΕΛΕΓΧΟΣ(2)'!O29</f>
        <v>31/1</v>
      </c>
      <c r="O27" s="171"/>
      <c r="P27" s="441"/>
      <c r="Q27" s="171"/>
      <c r="R27" s="208"/>
    </row>
    <row r="28" spans="2:28" ht="33" customHeight="1" x14ac:dyDescent="0.35">
      <c r="B28" s="822" t="s">
        <v>69</v>
      </c>
      <c r="C28" s="823"/>
      <c r="D28" s="303">
        <v>4.3</v>
      </c>
      <c r="E28" s="375">
        <f>'DAILY-ELEV-STR(1)'!L44</f>
        <v>0.10400000000000001</v>
      </c>
      <c r="F28" s="302">
        <f>'ΚΑΤΑΧΩΡΗΣΗ-ΕΛΕΓΧΟΣ(2)'!G30</f>
        <v>-0.10400000000000001</v>
      </c>
      <c r="G28" s="301">
        <f t="shared" si="0"/>
        <v>0</v>
      </c>
      <c r="H28" s="380">
        <f>'DAILY-ELEV-STR(1)'!L46</f>
        <v>17.135000000000002</v>
      </c>
      <c r="I28" s="392">
        <f>'DAILY-ELEV-STR(1)'!L61</f>
        <v>1.5169999999999999</v>
      </c>
      <c r="J28" s="393">
        <f t="shared" si="1"/>
        <v>35.279069767441861</v>
      </c>
      <c r="K28" s="384">
        <f>'ΚΑΤΑΧΩΡΗΣΗ-ΕΛΕΓΧΟΣ(2)'!L30</f>
        <v>2.6360000000000001</v>
      </c>
      <c r="L28" s="404">
        <f t="shared" si="2"/>
        <v>61.302325581395358</v>
      </c>
      <c r="M28" s="311">
        <f>'ΚΑΤΑΧΩΡΗΣΗ-ΕΛΕΓΧΟΣ(2)'!N30</f>
        <v>2.734</v>
      </c>
      <c r="N28" s="524" t="str">
        <f>'ΚΑΤΑΧΩΡΗΣΗ-ΕΛΕΓΧΟΣ(2)'!O30</f>
        <v>14/5</v>
      </c>
      <c r="O28" s="171"/>
      <c r="P28" s="441"/>
      <c r="Q28" s="171"/>
      <c r="R28" s="208"/>
    </row>
    <row r="29" spans="2:28" ht="33" customHeight="1" x14ac:dyDescent="0.35">
      <c r="B29" s="822" t="s">
        <v>96</v>
      </c>
      <c r="C29" s="823"/>
      <c r="D29" s="303">
        <v>3.4</v>
      </c>
      <c r="E29" s="375">
        <f>'DAILY-ELEV-STR(1)'!N44</f>
        <v>5.0000000000000001E-3</v>
      </c>
      <c r="F29" s="302">
        <f>'ΚΑΤΑΧΩΡΗΣΗ-ΕΛΕΓΧΟΣ(2)'!G31</f>
        <v>-1E-3</v>
      </c>
      <c r="G29" s="365">
        <f t="shared" si="0"/>
        <v>4.0000000000000001E-3</v>
      </c>
      <c r="H29" s="380">
        <f>'DAILY-ELEV-STR(1)'!N46</f>
        <v>1.3220000000000003</v>
      </c>
      <c r="I29" s="392">
        <f>'DAILY-ELEV-STR(1)'!N61</f>
        <v>1.9480000000000002</v>
      </c>
      <c r="J29" s="393">
        <f>I29/D29*100</f>
        <v>57.294117647058826</v>
      </c>
      <c r="K29" s="384">
        <f>'ΚΑΤΑΧΩΡΗΣΗ-ΕΛΕΓΧΟΣ(2)'!L31</f>
        <v>1.272</v>
      </c>
      <c r="L29" s="404">
        <f>K29/D29*100</f>
        <v>37.411764705882355</v>
      </c>
      <c r="M29" s="311">
        <f>'ΚΑΤΑΧΩΡΗΣΗ-ΕΛΕΓΧΟΣ(2)'!N31</f>
        <v>1.393</v>
      </c>
      <c r="N29" s="524" t="str">
        <f>'ΚΑΤΑΧΩΡΗΣΗ-ΕΛΕΓΧΟΣ(2)'!O31</f>
        <v>21/2</v>
      </c>
      <c r="O29" s="171"/>
      <c r="P29" s="441"/>
      <c r="Q29" s="171"/>
      <c r="R29" s="208"/>
    </row>
    <row r="30" spans="2:28" ht="33" customHeight="1" thickBot="1" x14ac:dyDescent="0.4">
      <c r="B30" s="828" t="s">
        <v>103</v>
      </c>
      <c r="C30" s="829"/>
      <c r="D30" s="485">
        <v>6.8</v>
      </c>
      <c r="E30" s="486">
        <f>'DAILY-ELEV-STR(1)'!M44</f>
        <v>0</v>
      </c>
      <c r="F30" s="487">
        <f>'ΚΑΤΑΧΩΡΗΣΗ-ΕΛΕΓΧΟΣ(2)'!G39</f>
        <v>0</v>
      </c>
      <c r="G30" s="488">
        <f>'DAILY-ELEV-STR(1)'!M42</f>
        <v>0</v>
      </c>
      <c r="H30" s="489">
        <f>'DAILY-ELEV-STR(1)'!M46</f>
        <v>0</v>
      </c>
      <c r="I30" s="490">
        <f>'DAILY-ELEV-STR(1)'!M61</f>
        <v>0.14899999999999999</v>
      </c>
      <c r="J30" s="491">
        <f>I30/D30*100</f>
        <v>2.1911764705882355</v>
      </c>
      <c r="K30" s="492">
        <f>'ΚΑΤΑΧΩΡΗΣΗ-ΕΛΕΓΧΟΣ(2)'!L39</f>
        <v>1.119</v>
      </c>
      <c r="L30" s="493">
        <f>K30/D30*100</f>
        <v>16.455882352941174</v>
      </c>
      <c r="M30" s="311">
        <f>'ΚΑΤΑΧΩΡΗΣΗ-ΕΛΕΓΧΟΣ(2)'!N39</f>
        <v>1.9650000000000001</v>
      </c>
      <c r="N30" s="526" t="str">
        <f>'ΚΑΤΑΧΩΡΗΣΗ-ΕΛΕΓΧΟΣ(2)'!O39</f>
        <v>5/2</v>
      </c>
      <c r="O30" s="171"/>
      <c r="P30" s="441"/>
      <c r="Q30" s="171"/>
      <c r="R30" s="208"/>
    </row>
    <row r="31" spans="2:28" ht="33" customHeight="1" thickBot="1" x14ac:dyDescent="0.4">
      <c r="B31" s="826" t="s">
        <v>64</v>
      </c>
      <c r="C31" s="827"/>
      <c r="D31" s="304">
        <f>SUM(D23:D30)</f>
        <v>189.45000000000002</v>
      </c>
      <c r="E31" s="376">
        <f t="shared" ref="E31:K31" si="3">SUM(E23:E30)</f>
        <v>0.32500000000000001</v>
      </c>
      <c r="F31" s="304">
        <f t="shared" si="3"/>
        <v>-4.8000000000000015E-2</v>
      </c>
      <c r="G31" s="304">
        <f t="shared" si="3"/>
        <v>0.27700000000000002</v>
      </c>
      <c r="H31" s="304">
        <f t="shared" si="3"/>
        <v>53.445999999999998</v>
      </c>
      <c r="I31" s="394">
        <f t="shared" si="3"/>
        <v>64.394000000000005</v>
      </c>
      <c r="J31" s="395">
        <f t="shared" si="1"/>
        <v>33.989970968593298</v>
      </c>
      <c r="K31" s="385">
        <f t="shared" si="3"/>
        <v>43.99</v>
      </c>
      <c r="L31" s="405">
        <f t="shared" si="2"/>
        <v>23.219846925310105</v>
      </c>
      <c r="M31" s="525">
        <f>'ΚΑΤΑΧΩΡΗΣΗ-ΕΛΕΓΧΟΣ(2)'!N41</f>
        <v>48.933999999999997</v>
      </c>
      <c r="N31" s="531" t="str">
        <f>'ΚΑΤΑΧΩΡΗΣΗ-ΕΛΕΓΧΟΣ(2)'!O41</f>
        <v>29/1</v>
      </c>
      <c r="O31" s="290"/>
      <c r="P31" s="215"/>
      <c r="Q31" s="171"/>
      <c r="R31" s="208"/>
    </row>
    <row r="32" spans="2:28" ht="33" customHeight="1" x14ac:dyDescent="0.35">
      <c r="B32" s="824" t="s">
        <v>145</v>
      </c>
      <c r="C32" s="825"/>
      <c r="D32" s="249"/>
      <c r="E32" s="359"/>
      <c r="F32" s="178"/>
      <c r="G32" s="188"/>
      <c r="H32" s="381"/>
      <c r="I32" s="396"/>
      <c r="J32" s="330"/>
      <c r="K32" s="324"/>
      <c r="L32" s="268"/>
      <c r="M32" s="263"/>
      <c r="N32" s="250"/>
      <c r="O32" s="171"/>
      <c r="P32"/>
      <c r="Q32" s="171"/>
      <c r="R32" s="208"/>
    </row>
    <row r="33" spans="2:50" ht="33" customHeight="1" x14ac:dyDescent="0.35">
      <c r="B33" s="822" t="s">
        <v>90</v>
      </c>
      <c r="C33" s="823"/>
      <c r="D33" s="303">
        <v>52.375</v>
      </c>
      <c r="E33" s="375">
        <f>'DAILY-ELEV-STR(1)'!E44</f>
        <v>5.6000000000000001E-2</v>
      </c>
      <c r="F33" s="302">
        <f>'ΚΑΤΑΧΩΡΗΣΗ-ΕΛΕΓΧΟΣ(2)'!G23</f>
        <v>-1.4E-2</v>
      </c>
      <c r="G33" s="301">
        <f>SUM(E33:F33)</f>
        <v>4.2000000000000003E-2</v>
      </c>
      <c r="H33" s="380">
        <f>'DAILY-ELEV-STR(1)'!E46</f>
        <v>17.938000000000002</v>
      </c>
      <c r="I33" s="392">
        <f>'DAILY-ELEV-STR(1)'!E61</f>
        <v>20.376999999999999</v>
      </c>
      <c r="J33" s="393">
        <f>I33/D33*100</f>
        <v>38.905966587112168</v>
      </c>
      <c r="K33" s="384">
        <f>'ΚΑΤΑΧΩΡΗΣΗ-ΕΛΕΓΧΟΣ(2)'!L23</f>
        <v>12.513999999999999</v>
      </c>
      <c r="L33" s="404">
        <f>K33/D33*100</f>
        <v>23.89307875894988</v>
      </c>
      <c r="M33" s="311">
        <f>'ΚΑΤΑΧΩΡΗΣΗ-ΕΛΕΓΧΟΣ(2)'!N23</f>
        <v>15.348000000000001</v>
      </c>
      <c r="N33" s="524" t="str">
        <f>'ΚΑΤΑΧΩΡΗΣΗ-ΕΛΕΓΧΟΣ(2)'!O23</f>
        <v>3/1</v>
      </c>
      <c r="O33" s="171"/>
      <c r="P33"/>
      <c r="Q33" s="171"/>
      <c r="R33" s="171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</row>
    <row r="34" spans="2:50" ht="33" customHeight="1" x14ac:dyDescent="0.35">
      <c r="B34" s="822" t="s">
        <v>129</v>
      </c>
      <c r="C34" s="823"/>
      <c r="D34" s="303">
        <v>17.167999999999999</v>
      </c>
      <c r="E34" s="375">
        <f>'DAILY-ELEV-STR(1)'!G44</f>
        <v>2.3E-2</v>
      </c>
      <c r="F34" s="302">
        <f>'ΚΑΤΑΧΩΡΗΣΗ-ΕΛΕΓΧΟΣ(2)'!G25</f>
        <v>-1.2E-2</v>
      </c>
      <c r="G34" s="301">
        <f>SUM(E34:F34)</f>
        <v>1.0999999999999999E-2</v>
      </c>
      <c r="H34" s="380">
        <f>'DAILY-ELEV-STR(1)'!G46</f>
        <v>8.32</v>
      </c>
      <c r="I34" s="392">
        <f>'DAILY-ELEV-STR(1)'!G61</f>
        <v>8.3550000000000004</v>
      </c>
      <c r="J34" s="397">
        <f>I34/D34*100</f>
        <v>48.666123019571302</v>
      </c>
      <c r="K34" s="384">
        <f>'ΚΑΤΑΧΩΡΗΣΗ-ΕΛΕΓΧΟΣ(2)'!L25</f>
        <v>4.3209999999999997</v>
      </c>
      <c r="L34" s="404">
        <f>K34/D34*100</f>
        <v>25.168918918918919</v>
      </c>
      <c r="M34" s="311">
        <f>'ΚΑΤΑΧΩΡΗΣΗ-ΕΛΕΓΧΟΣ(2)'!N25</f>
        <v>5.2060000000000004</v>
      </c>
      <c r="N34" s="524" t="str">
        <f>'ΚΑΤΑΧΩΡΗΣΗ-ΕΛΕΓΧΟΣ(2)'!O25</f>
        <v>3/1</v>
      </c>
      <c r="O34" s="171"/>
      <c r="P34"/>
      <c r="Q34" s="171"/>
      <c r="R34" s="171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</row>
    <row r="35" spans="2:50" ht="33" customHeight="1" thickBot="1" x14ac:dyDescent="0.4">
      <c r="B35" s="822" t="s">
        <v>97</v>
      </c>
      <c r="C35" s="823"/>
      <c r="D35" s="303">
        <v>2.1800000000000002</v>
      </c>
      <c r="E35" s="375">
        <f>'DAILY-ELEV-STR(1)'!O44</f>
        <v>1E-3</v>
      </c>
      <c r="F35" s="302">
        <f>'ΚΑΤΑΧΩΡΗΣΗ-ΕΛΕΓΧΟΣ(2)'!G32</f>
        <v>-1E-3</v>
      </c>
      <c r="G35" s="301">
        <f>SUM(E35:F35)</f>
        <v>0</v>
      </c>
      <c r="H35" s="380">
        <f>'DAILY-ELEV-STR(1)'!O46</f>
        <v>0.91800000000000015</v>
      </c>
      <c r="I35" s="392">
        <f>'DAILY-ELEV-STR(1)'!O61</f>
        <v>1.974</v>
      </c>
      <c r="J35" s="393">
        <f>I35/D35*100</f>
        <v>90.550458715596321</v>
      </c>
      <c r="K35" s="384">
        <f>'ΚΑΤΑΧΩΡΗΣΗ-ΕΛΕΓΧΟΣ(2)'!L32</f>
        <v>0</v>
      </c>
      <c r="L35" s="404">
        <f>K35/D35*100</f>
        <v>0</v>
      </c>
      <c r="M35" s="311">
        <f>'ΚΑΤΑΧΩΡΗΣΗ-ΕΛΕΓΧΟΣ(2)'!N32</f>
        <v>1.3979999999999999</v>
      </c>
      <c r="N35" s="526" t="str">
        <f>'ΚΑΤΑΧΩΡΗΣΗ-ΕΛΕΓΧΟΣ(2)'!O32</f>
        <v>17/1</v>
      </c>
      <c r="O35" s="171"/>
      <c r="P35"/>
      <c r="Q35" s="208"/>
      <c r="R35" s="208"/>
    </row>
    <row r="36" spans="2:50" ht="33" customHeight="1" thickBot="1" x14ac:dyDescent="0.4">
      <c r="B36" s="826" t="s">
        <v>64</v>
      </c>
      <c r="C36" s="827"/>
      <c r="D36" s="304">
        <f t="shared" ref="D36:I36" si="4">SUM(D33:D35)</f>
        <v>71.723000000000013</v>
      </c>
      <c r="E36" s="376">
        <f t="shared" si="4"/>
        <v>0.08</v>
      </c>
      <c r="F36" s="304">
        <f t="shared" si="4"/>
        <v>-2.7000000000000003E-2</v>
      </c>
      <c r="G36" s="304">
        <f t="shared" si="4"/>
        <v>5.3000000000000005E-2</v>
      </c>
      <c r="H36" s="443">
        <f>SUM(H33:H35)</f>
        <v>27.176000000000002</v>
      </c>
      <c r="I36" s="394">
        <f t="shared" si="4"/>
        <v>30.706</v>
      </c>
      <c r="J36" s="395">
        <f>I36/D36*100</f>
        <v>42.811929227723319</v>
      </c>
      <c r="K36" s="385">
        <f>SUM(K33:K35)</f>
        <v>16.835000000000001</v>
      </c>
      <c r="L36" s="405">
        <f>K36/D36*100</f>
        <v>23.472247396232724</v>
      </c>
      <c r="M36" s="366">
        <v>21.739000000000001</v>
      </c>
      <c r="N36" s="530" t="s">
        <v>267</v>
      </c>
      <c r="O36" s="171"/>
      <c r="P36"/>
      <c r="Q36" s="171"/>
      <c r="R36" s="208"/>
    </row>
    <row r="37" spans="2:50" ht="33" customHeight="1" x14ac:dyDescent="0.35">
      <c r="B37" s="824" t="s">
        <v>163</v>
      </c>
      <c r="C37" s="825"/>
      <c r="D37" s="140"/>
      <c r="E37" s="360"/>
      <c r="F37" s="179"/>
      <c r="G37" s="188"/>
      <c r="H37" s="382"/>
      <c r="I37" s="398"/>
      <c r="J37" s="331"/>
      <c r="K37" s="325"/>
      <c r="L37" s="269"/>
      <c r="M37" s="264"/>
      <c r="N37" s="145"/>
      <c r="O37" s="171"/>
      <c r="P37"/>
      <c r="Q37" s="208"/>
      <c r="R37" s="208"/>
    </row>
    <row r="38" spans="2:50" ht="33" customHeight="1" x14ac:dyDescent="0.35">
      <c r="B38" s="822" t="s">
        <v>91</v>
      </c>
      <c r="C38" s="823"/>
      <c r="D38" s="303">
        <v>24</v>
      </c>
      <c r="E38" s="375">
        <f>'DAILY-ELEV-STR(1)'!F44</f>
        <v>4.1000000000000002E-2</v>
      </c>
      <c r="F38" s="302">
        <f>'ΚΑΤΑΧΩΡΗΣΗ-ΕΛΕΓΧΟΣ(2)'!G24</f>
        <v>-4.0000000000000001E-3</v>
      </c>
      <c r="G38" s="301">
        <f>SUM(E38:F38)</f>
        <v>3.7000000000000005E-2</v>
      </c>
      <c r="H38" s="380">
        <f>'DAILY-ELEV-STR(1)'!F46</f>
        <v>8.7920000000000016</v>
      </c>
      <c r="I38" s="392">
        <f>'DAILY-ELEV-STR(1)'!F61</f>
        <v>10.887</v>
      </c>
      <c r="J38" s="393">
        <f>I38/D38*100</f>
        <v>45.362499999999997</v>
      </c>
      <c r="K38" s="384">
        <f>'ΚΑΤΑΧΩΡΗΣΗ-ΕΛΕΓΧΟΣ(2)'!L24</f>
        <v>5.7290000000000001</v>
      </c>
      <c r="L38" s="404">
        <f>K38/D38*100</f>
        <v>23.870833333333334</v>
      </c>
      <c r="M38" s="311">
        <f>'ΚΑΤΑΧΩΡΗΣΗ-ΕΛΕΓΧΟΣ(2)'!N24</f>
        <v>6.2009999999999996</v>
      </c>
      <c r="N38" s="524" t="str">
        <f>'ΚΑΤΑΧΩΡΗΣΗ-ΕΛΕΓΧΟΣ(2)'!O24</f>
        <v>7/3</v>
      </c>
      <c r="O38" s="171"/>
      <c r="P38"/>
      <c r="Q38" s="171"/>
      <c r="R38" s="171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</row>
    <row r="39" spans="2:50" ht="33" customHeight="1" x14ac:dyDescent="0.35">
      <c r="B39" s="807" t="s">
        <v>100</v>
      </c>
      <c r="C39" s="808"/>
      <c r="D39" s="739">
        <v>0.99</v>
      </c>
      <c r="E39" s="726">
        <f>'DAILY-ELEV-STR(1)'!R44</f>
        <v>0</v>
      </c>
      <c r="F39" s="727">
        <f>'ΚΑΤΑΧΩΡΗΣΗ-ΕΛΕΓΧΟΣ(2)'!G35</f>
        <v>0</v>
      </c>
      <c r="G39" s="728">
        <f>SUM(E39:F39)</f>
        <v>0</v>
      </c>
      <c r="H39" s="729">
        <f>'DAILY-ELEV-STR(1)'!R46</f>
        <v>1.0010000000000001</v>
      </c>
      <c r="I39" s="730">
        <f>'DAILY-ELEV-STR(1)'!R61</f>
        <v>0.99</v>
      </c>
      <c r="J39" s="731">
        <f>I39/D39*100</f>
        <v>100</v>
      </c>
      <c r="K39" s="384">
        <f>'ΚΑΤΑΧΩΡΗΣΗ-ΕΛΕΓΧΟΣ(2)'!L35</f>
        <v>0.38500000000000001</v>
      </c>
      <c r="L39" s="404">
        <f>K39/D39*100</f>
        <v>38.888888888888893</v>
      </c>
      <c r="M39" s="311">
        <f>'ΚΑΤΑΧΩΡΗΣΗ-ΕΛΕΓΧΟΣ(2)'!N35</f>
        <v>0.39100000000000001</v>
      </c>
      <c r="N39" s="524" t="str">
        <f>'ΚΑΤΑΧΩΡΗΣΗ-ΕΛΕΓΧΟΣ(2)'!O35</f>
        <v>17/4</v>
      </c>
      <c r="O39" s="171"/>
      <c r="P39" s="171"/>
      <c r="Q39" s="171"/>
    </row>
    <row r="40" spans="2:50" ht="33" customHeight="1" x14ac:dyDescent="0.35">
      <c r="B40" s="807" t="s">
        <v>80</v>
      </c>
      <c r="C40" s="808"/>
      <c r="D40" s="739">
        <v>0.86</v>
      </c>
      <c r="E40" s="726">
        <f>'DAILY-ELEV-STR(1)'!S44</f>
        <v>0</v>
      </c>
      <c r="F40" s="727">
        <f>'ΚΑΤΑΧΩΡΗΣΗ-ΕΛΕΓΧΟΣ(2)'!G36</f>
        <v>0</v>
      </c>
      <c r="G40" s="728">
        <f>SUM(E40:F40)</f>
        <v>0</v>
      </c>
      <c r="H40" s="729">
        <f>'DAILY-ELEV-STR(1)'!S46</f>
        <v>0.78600000000000025</v>
      </c>
      <c r="I40" s="730">
        <f>'DAILY-ELEV-STR(1)'!S61</f>
        <v>0.86</v>
      </c>
      <c r="J40" s="731">
        <f>I40/D40*100</f>
        <v>100</v>
      </c>
      <c r="K40" s="384">
        <f>'ΚΑΤΑΧΩΡΗΣΗ-ΕΛΕΓΧΟΣ(2)'!L36</f>
        <v>0.378</v>
      </c>
      <c r="L40" s="404">
        <f>K40/D40*100</f>
        <v>43.953488372093027</v>
      </c>
      <c r="M40" s="311">
        <f>'ΚΑΤΑΧΩΡΗΣΗ-ΕΛΕΓΧΟΣ(2)'!N36</f>
        <v>0.378</v>
      </c>
      <c r="N40" s="524" t="str">
        <f>'ΚΑΤΑΧΩΡΗΣΗ-ΕΛΕΓΧΟΣ(2)'!O36</f>
        <v>30/4</v>
      </c>
      <c r="O40" s="171"/>
      <c r="P40" s="171"/>
      <c r="Q40" s="171"/>
      <c r="R40" s="127"/>
      <c r="S40" s="127"/>
      <c r="T40" s="127"/>
    </row>
    <row r="41" spans="2:50" ht="33" customHeight="1" thickBot="1" x14ac:dyDescent="0.4">
      <c r="B41" s="807" t="s">
        <v>102</v>
      </c>
      <c r="C41" s="808"/>
      <c r="D41" s="740">
        <v>0.29799999999999999</v>
      </c>
      <c r="E41" s="726">
        <f>'DAILY-ELEV-STR(1)'!U44</f>
        <v>0</v>
      </c>
      <c r="F41" s="727">
        <f>'ΚΑΤΑΧΩΡΗΣΗ-ΕΛΕΓΧΟΣ(2)'!G38</f>
        <v>0</v>
      </c>
      <c r="G41" s="728">
        <f>SUM(E41:F41)</f>
        <v>0</v>
      </c>
      <c r="H41" s="729">
        <f>'DAILY-ELEV-STR(1)'!U46</f>
        <v>0.24300000000000002</v>
      </c>
      <c r="I41" s="730">
        <f>'DAILY-ELEV-STR(1)'!U61</f>
        <v>0.29799999999999999</v>
      </c>
      <c r="J41" s="731">
        <f>I41/D41*100</f>
        <v>100</v>
      </c>
      <c r="K41" s="384">
        <f>'ΚΑΤΑΧΩΡΗΣΗ-ΕΛΕΓΧΟΣ(2)'!L38</f>
        <v>0.17699999999999999</v>
      </c>
      <c r="L41" s="404">
        <f>K41/D41*100</f>
        <v>59.395973154362416</v>
      </c>
      <c r="M41" s="311">
        <f>'ΚΑΤΑΧΩΡΗΣΗ-ΕΛΕΓΧΟΣ(2)'!N38</f>
        <v>0.17699999999999999</v>
      </c>
      <c r="N41" s="526" t="str">
        <f>'ΚΑΤΑΧΩΡΗΣΗ-ΕΛΕΓΧΟΣ(2)'!O38</f>
        <v>30,4</v>
      </c>
      <c r="O41" s="127"/>
      <c r="P41" s="171"/>
      <c r="Q41" s="171"/>
    </row>
    <row r="42" spans="2:50" ht="33" customHeight="1" thickBot="1" x14ac:dyDescent="0.4">
      <c r="B42" s="826" t="s">
        <v>64</v>
      </c>
      <c r="C42" s="827"/>
      <c r="D42" s="304">
        <f t="shared" ref="D42:I42" si="5">SUM(D38:D41)</f>
        <v>26.147999999999996</v>
      </c>
      <c r="E42" s="376">
        <f t="shared" si="5"/>
        <v>4.1000000000000002E-2</v>
      </c>
      <c r="F42" s="304">
        <f t="shared" si="5"/>
        <v>-4.0000000000000001E-3</v>
      </c>
      <c r="G42" s="304">
        <f t="shared" si="5"/>
        <v>3.7000000000000005E-2</v>
      </c>
      <c r="H42" s="304">
        <f t="shared" si="5"/>
        <v>10.822000000000001</v>
      </c>
      <c r="I42" s="394">
        <f t="shared" si="5"/>
        <v>13.035</v>
      </c>
      <c r="J42" s="395">
        <f>I42/D42*100</f>
        <v>49.850849013308867</v>
      </c>
      <c r="K42" s="385">
        <f>SUM(K38:K41)</f>
        <v>6.6689999999999996</v>
      </c>
      <c r="L42" s="405">
        <f>K42/D42*100</f>
        <v>25.504818724185409</v>
      </c>
      <c r="M42" s="366">
        <v>7.0609999999999999</v>
      </c>
      <c r="N42" s="530" t="s">
        <v>268</v>
      </c>
      <c r="O42" s="171"/>
      <c r="P42"/>
      <c r="Q42" s="171"/>
      <c r="R42" s="208"/>
    </row>
    <row r="43" spans="2:50" ht="33" customHeight="1" x14ac:dyDescent="0.35">
      <c r="B43" s="824" t="s">
        <v>167</v>
      </c>
      <c r="C43" s="825"/>
      <c r="E43" s="375"/>
      <c r="F43" s="302"/>
      <c r="G43" s="301"/>
      <c r="H43" s="380"/>
      <c r="I43" s="392"/>
      <c r="J43" s="393"/>
      <c r="K43" s="384"/>
      <c r="L43" s="404"/>
      <c r="M43" s="311"/>
      <c r="N43" s="310"/>
    </row>
    <row r="44" spans="2:50" ht="33" customHeight="1" x14ac:dyDescent="0.35">
      <c r="B44" s="822" t="s">
        <v>98</v>
      </c>
      <c r="C44" s="823"/>
      <c r="D44" s="303">
        <v>1.69</v>
      </c>
      <c r="E44" s="375">
        <f>'DAILY-ELEV-STR(1)'!P44</f>
        <v>8.0000000000000002E-3</v>
      </c>
      <c r="F44" s="302">
        <f>'ΚΑΤΑΧΩΡΗΣΗ-ΕΛΕΓΧΟΣ(2)'!G33</f>
        <v>0</v>
      </c>
      <c r="G44" s="301">
        <f>SUM(E44:F44)</f>
        <v>8.0000000000000002E-3</v>
      </c>
      <c r="H44" s="380">
        <f>'DAILY-ELEV-STR(1)'!P46</f>
        <v>1.6360000000000001</v>
      </c>
      <c r="I44" s="392">
        <f>'DAILY-ELEV-STR(1)'!P61</f>
        <v>1.637</v>
      </c>
      <c r="J44" s="393">
        <f>I44/D44*100</f>
        <v>96.863905325443795</v>
      </c>
      <c r="K44" s="384">
        <f>'ΚΑΤΑΧΩΡΗΣΗ-ΕΛΕΓΧΟΣ(2)'!L33</f>
        <v>4.8000000000000001E-2</v>
      </c>
      <c r="L44" s="404">
        <f>K44/D44*100</f>
        <v>2.8402366863905328</v>
      </c>
      <c r="M44" s="311">
        <f>'ΚΑΤΑΧΩΡΗΣΗ-ΕΛΕΓΧΟΣ(2)'!N33</f>
        <v>5.0999999999999997E-2</v>
      </c>
      <c r="N44" s="524" t="str">
        <f>'ΚΑΤΑΧΩΡΗΣΗ-ΕΛΕΓΧΟΣ(2)'!O33</f>
        <v>11/1</v>
      </c>
      <c r="O44" s="171"/>
      <c r="P44" s="171"/>
      <c r="Q44" s="171"/>
    </row>
    <row r="45" spans="2:50" ht="33" customHeight="1" x14ac:dyDescent="0.35">
      <c r="B45" s="822" t="s">
        <v>99</v>
      </c>
      <c r="C45" s="823"/>
      <c r="D45" s="303">
        <v>1.43</v>
      </c>
      <c r="E45" s="375">
        <f>'DAILY-ELEV-STR(1)'!Q44</f>
        <v>2E-3</v>
      </c>
      <c r="F45" s="302">
        <f>'ΚΑΤΑΧΩΡΗΣΗ-ΕΛΕΓΧΟΣ(2)'!G34</f>
        <v>0</v>
      </c>
      <c r="G45" s="301">
        <f>SUM(E45:F45)</f>
        <v>2E-3</v>
      </c>
      <c r="H45" s="380">
        <f>'DAILY-ELEV-STR(1)'!Q46</f>
        <v>1.4180000000000001</v>
      </c>
      <c r="I45" s="752">
        <f>'DAILY-ELEV-STR(1)'!Q61</f>
        <v>1.43</v>
      </c>
      <c r="J45" s="404">
        <f>I45/D45*100</f>
        <v>100</v>
      </c>
      <c r="K45" s="384">
        <f>'ΚΑΤΑΧΩΡΗΣΗ-ΕΛΕΓΧΟΣ(2)'!L34</f>
        <v>0.314</v>
      </c>
      <c r="L45" s="404">
        <f>K45/D45*100</f>
        <v>21.95804195804196</v>
      </c>
      <c r="M45" s="311">
        <f>'ΚΑΤΑΧΩΡΗΣΗ-ΕΛΕΓΧΟΣ(2)'!N34</f>
        <v>0.33500000000000002</v>
      </c>
      <c r="N45" s="524" t="str">
        <f>'ΚΑΤΑΧΩΡΗΣΗ-ΕΛΕΓΧΟΣ(2)'!O34</f>
        <v>24/3</v>
      </c>
      <c r="O45" s="171"/>
      <c r="P45" s="171"/>
      <c r="Q45" s="171"/>
    </row>
    <row r="46" spans="2:50" ht="33" customHeight="1" thickBot="1" x14ac:dyDescent="0.4">
      <c r="B46" s="820" t="s">
        <v>101</v>
      </c>
      <c r="C46" s="821"/>
      <c r="D46" s="732">
        <v>0.36299999999999999</v>
      </c>
      <c r="E46" s="733">
        <f>'DAILY-ELEV-STR(1)'!T44</f>
        <v>0</v>
      </c>
      <c r="F46" s="734">
        <f>'ΚΑΤΑΧΩΡΗΣΗ-ΕΛΕΓΧΟΣ(2)'!G37</f>
        <v>0</v>
      </c>
      <c r="G46" s="735">
        <f>SUM(E46:F46)</f>
        <v>0</v>
      </c>
      <c r="H46" s="736">
        <f>'DAILY-ELEV-STR(1)'!T46</f>
        <v>0.31100000000000005</v>
      </c>
      <c r="I46" s="737">
        <f>'DAILY-ELEV-STR(1)'!T61</f>
        <v>0.36299999999999999</v>
      </c>
      <c r="J46" s="738">
        <f>I46/D46*100</f>
        <v>100</v>
      </c>
      <c r="K46" s="527">
        <f>'ΚΑΤΑΧΩΡΗΣΗ-ΕΛΕΓΧΟΣ(2)'!L37</f>
        <v>0.317</v>
      </c>
      <c r="L46" s="528">
        <f>K46/D46*100</f>
        <v>87.327823691460054</v>
      </c>
      <c r="M46" s="529">
        <f>'ΚΑΤΑΧΩΡΗΣΗ-ΕΛΕΓΧΟΣ(2)'!N37</f>
        <v>0.32</v>
      </c>
      <c r="N46" s="526" t="str">
        <f>'ΚΑΤΑΧΩΡΗΣΗ-ΕΛΕΓΧΟΣ(2)'!O37</f>
        <v>18/4</v>
      </c>
      <c r="O46" s="171"/>
      <c r="P46" s="171"/>
      <c r="Q46" s="171"/>
    </row>
    <row r="47" spans="2:50" ht="33" customHeight="1" thickBot="1" x14ac:dyDescent="0.4">
      <c r="B47" s="813" t="s">
        <v>64</v>
      </c>
      <c r="C47" s="814"/>
      <c r="D47" s="443">
        <f t="shared" ref="D47:I47" si="6">SUM(D44:D46)</f>
        <v>3.4830000000000001</v>
      </c>
      <c r="E47" s="551">
        <f t="shared" si="6"/>
        <v>0.01</v>
      </c>
      <c r="F47" s="552">
        <f t="shared" si="6"/>
        <v>0</v>
      </c>
      <c r="G47" s="553">
        <f t="shared" si="6"/>
        <v>0.01</v>
      </c>
      <c r="H47" s="554">
        <f t="shared" si="6"/>
        <v>3.3650000000000002</v>
      </c>
      <c r="I47" s="555">
        <f t="shared" si="6"/>
        <v>3.43</v>
      </c>
      <c r="J47" s="395">
        <f>I47/D47*100</f>
        <v>98.478323284524834</v>
      </c>
      <c r="K47" s="556">
        <f>SUM(K44:K46)</f>
        <v>0.67900000000000005</v>
      </c>
      <c r="L47" s="405">
        <f>K47/D47*100</f>
        <v>19.49468848693655</v>
      </c>
      <c r="M47" s="557">
        <v>0.69599999999999995</v>
      </c>
      <c r="N47" s="591" t="s">
        <v>275</v>
      </c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</row>
    <row r="48" spans="2:50" ht="15" customHeight="1" thickBot="1" x14ac:dyDescent="0.4">
      <c r="B48" s="550"/>
      <c r="C48" s="319"/>
      <c r="D48" s="276"/>
      <c r="E48" s="456"/>
      <c r="F48" s="456"/>
      <c r="G48" s="456"/>
      <c r="H48" s="456"/>
      <c r="I48" s="456"/>
      <c r="J48" s="457"/>
      <c r="K48" s="456"/>
      <c r="L48" s="457"/>
      <c r="M48" s="456"/>
      <c r="N48" s="458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</row>
    <row r="49" spans="2:40" ht="33.75" customHeight="1" thickTop="1" thickBot="1" x14ac:dyDescent="0.4">
      <c r="B49" s="815" t="s">
        <v>170</v>
      </c>
      <c r="C49" s="816"/>
      <c r="D49" s="259">
        <f>D31+D36+D42+D47</f>
        <v>290.80400000000003</v>
      </c>
      <c r="E49" s="411">
        <f>E47+E42+E36+E31</f>
        <v>0.45600000000000002</v>
      </c>
      <c r="F49" s="312">
        <f>F47+F42+F36+F31</f>
        <v>-7.9000000000000015E-2</v>
      </c>
      <c r="G49" s="312">
        <f>G47+G42+G36+G31</f>
        <v>0.377</v>
      </c>
      <c r="H49" s="313">
        <f>H47+H42+H36+H31</f>
        <v>94.808999999999997</v>
      </c>
      <c r="I49" s="314">
        <f>I47+I42+I36+I31</f>
        <v>111.565</v>
      </c>
      <c r="J49" s="315">
        <f>I49/D49</f>
        <v>0.38364327863440661</v>
      </c>
      <c r="K49" s="313">
        <f>K47+K42+K36+K31</f>
        <v>68.173000000000002</v>
      </c>
      <c r="L49" s="315">
        <f>K49/D49</f>
        <v>0.2344293751117591</v>
      </c>
      <c r="M49" s="434">
        <f>'ΚΑΤΑΧΩΡΗΣΗ-ΕΛΕΓΧΟΣ(2)'!N40</f>
        <v>77.382999999999996</v>
      </c>
      <c r="N49" s="582" t="str">
        <f>'ΚΑΤΑΧΩΡΗΣΗ-ΕΛΕΓΧΟΣ(2)'!O40</f>
        <v>15/1</v>
      </c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</row>
    <row r="50" spans="2:40" ht="33.75" customHeight="1" thickTop="1" x14ac:dyDescent="0.35">
      <c r="B50" s="415" t="str">
        <f>'ΚΑΤΑΧΩΡΗΣΗ-ΕΛΕΓΧΟΣ(2)'!B42</f>
        <v>* Ε.Σ.Ν.Α.(Ενιαίο Σχέδιο Νοτίου Αγωγού - Κούρης,Καλαβασός,Λεύκαρα,Διπόταμος,Γερμασόγεια,Πολεμίδια,Αρμίνου)</v>
      </c>
      <c r="C50" s="455"/>
      <c r="D50" s="276"/>
      <c r="E50" s="456"/>
      <c r="F50" s="456"/>
      <c r="G50" s="456"/>
      <c r="H50" s="456"/>
      <c r="I50" s="456"/>
      <c r="J50" s="457"/>
      <c r="K50" s="456"/>
      <c r="L50" s="457"/>
      <c r="M50" s="456"/>
      <c r="N50" s="458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</row>
    <row r="51" spans="2:40" ht="25.5" customHeight="1" x14ac:dyDescent="0.35">
      <c r="B51" s="415" t="str">
        <f>'ΚΑΤΑΧΩΡΗΣΗ-ΕΛΕΓΧΟΣ(2)'!B43</f>
        <v xml:space="preserve">  Μεταφορά νερού από Αρμίνου στο φράγμα Κούρη από  01/10/2025 -</v>
      </c>
      <c r="I51" s="703">
        <f>'ΚΑΤΑΧΩΡΗΣΗ-ΕΛΕΓΧΟΣ(2)'!K43</f>
        <v>16.55</v>
      </c>
      <c r="J51" s="416" t="s">
        <v>196</v>
      </c>
      <c r="M51" s="415"/>
      <c r="N51" s="415"/>
    </row>
    <row r="52" spans="2:40" ht="19.5" customHeight="1" thickBot="1" x14ac:dyDescent="0.35">
      <c r="M52" s="129"/>
    </row>
    <row r="53" spans="2:40" ht="21" thickTop="1" x14ac:dyDescent="0.3">
      <c r="B53" s="817" t="s">
        <v>144</v>
      </c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9"/>
    </row>
    <row r="54" spans="2:40" ht="20.25" x14ac:dyDescent="0.3">
      <c r="B54" s="368"/>
      <c r="C54" s="293" t="s">
        <v>160</v>
      </c>
      <c r="D54" s="293" t="s">
        <v>173</v>
      </c>
      <c r="E54" s="293" t="s">
        <v>183</v>
      </c>
      <c r="F54" s="293" t="s">
        <v>187</v>
      </c>
      <c r="G54" s="293" t="s">
        <v>188</v>
      </c>
      <c r="H54" s="446" t="s">
        <v>195</v>
      </c>
      <c r="I54" s="293" t="s">
        <v>199</v>
      </c>
      <c r="J54" s="293" t="s">
        <v>206</v>
      </c>
      <c r="K54" s="293" t="s">
        <v>208</v>
      </c>
      <c r="L54" s="709" t="s">
        <v>209</v>
      </c>
      <c r="M54" s="293" t="s">
        <v>261</v>
      </c>
      <c r="N54" s="715" t="s">
        <v>264</v>
      </c>
      <c r="O54" s="127"/>
      <c r="P54" s="127"/>
    </row>
    <row r="55" spans="2:40" ht="21.75" customHeight="1" x14ac:dyDescent="0.35">
      <c r="B55" s="430" t="s">
        <v>105</v>
      </c>
      <c r="C55" s="316">
        <f>'ΚΑΤΑΧΩΡΗΣΗ-ΕΛΕΓΧΟΣ(2)'!C50</f>
        <v>0.315</v>
      </c>
      <c r="D55" s="316">
        <f>'ΚΑΤΑΧΩΡΗΣΗ-ΕΛΕΓΧΟΣ(2)'!E50</f>
        <v>1.024</v>
      </c>
      <c r="E55" s="316">
        <f>'ΚΑΤΑΧΩΡΗΣΗ-ΕΛΕΓΧΟΣ(2)'!F50</f>
        <v>0.247</v>
      </c>
      <c r="F55" s="316">
        <f>'ΚΑΤΑΧΩΡΗΣΗ-ΕΛΕΓΧΟΣ(2)'!G50</f>
        <v>0.14199999999999999</v>
      </c>
      <c r="G55" s="316">
        <f>'ΚΑΤΑΧΩΡΗΣΗ-ΕΛΕΓΧΟΣ(2)'!H50</f>
        <v>0.85799999999999998</v>
      </c>
      <c r="H55" s="316">
        <f>'ΚΑΤΑΧΩΡΗΣΗ-ΕΛΕΓΧΟΣ(2)'!I50</f>
        <v>2.4298378274389072</v>
      </c>
      <c r="I55" s="316">
        <f>'ΚΑΤΑΧΩΡΗΣΗ-ΕΛΕΓΧΟΣ(2)'!J50</f>
        <v>0.16500000000000001</v>
      </c>
      <c r="J55" s="447">
        <f>'ΚΑΤΑΧΩΡΗΣΗ-ΕΛΕΓΧΟΣ(2)'!K50</f>
        <v>8.4000000000000005E-2</v>
      </c>
      <c r="K55" s="316">
        <f>'ΚΑΤΑΧΩΡΗΣΗ-ΕΛΕΓΧΟΣ(2)'!L50</f>
        <v>3.9459999999999997</v>
      </c>
      <c r="L55" s="316">
        <f>'ΚΑΤΑΧΩΡΗΣΗ-ΕΛΕΓΧΟΣ(2)'!M50</f>
        <v>0.58300000000000018</v>
      </c>
      <c r="M55" s="316">
        <f>'ΚΑΤΑΧΩΡΗΣΗ-ΕΛΕΓΧΟΣ(2)'!N50</f>
        <v>0</v>
      </c>
      <c r="N55" s="464">
        <f>'ΚΑΤΑΧΩΡΗΣΗ-ΕΛΕΓΧΟΣ(2)'!O50</f>
        <v>9.5000000000000001E-2</v>
      </c>
      <c r="O55" s="127"/>
      <c r="P55" s="127"/>
    </row>
    <row r="56" spans="2:40" ht="21.75" customHeight="1" x14ac:dyDescent="0.35">
      <c r="B56" s="431" t="s">
        <v>106</v>
      </c>
      <c r="C56" s="316">
        <f>'ΚΑΤΑΧΩΡΗΣΗ-ΕΛΕΓΧΟΣ(2)'!C51</f>
        <v>0.91500000000000004</v>
      </c>
      <c r="D56" s="316">
        <f>'ΚΑΤΑΧΩΡΗΣΗ-ΕΛΕΓΧΟΣ(2)'!E51</f>
        <v>0.60799999999999998</v>
      </c>
      <c r="E56" s="316">
        <f>'ΚΑΤΑΧΩΡΗΣΗ-ΕΛΕΓΧΟΣ(2)'!F51</f>
        <v>0.65700000000000003</v>
      </c>
      <c r="F56" s="316">
        <f>'ΚΑΤΑΧΩΡΗΣΗ-ΕΛΕΓΧΟΣ(2)'!G51</f>
        <v>0.61399999999999999</v>
      </c>
      <c r="G56" s="316">
        <f>'ΚΑΤΑΧΩΡΗΣΗ-ΕΛΕΓΧΟΣ(2)'!H51</f>
        <v>0.75700000000000001</v>
      </c>
      <c r="H56" s="316">
        <f>'ΚΑΤΑΧΩΡΗΣΗ-ΕΛΕΓΧΟΣ(2)'!I51</f>
        <v>1.5453236734428304</v>
      </c>
      <c r="I56" s="316">
        <f>'ΚΑΤΑΧΩΡΗΣΗ-ΕΛΕΓΧΟΣ(2)'!J51</f>
        <v>0.94200000000000017</v>
      </c>
      <c r="J56" s="447">
        <f>'ΚΑΤΑΧΩΡΗΣΗ-ΕΛΕΓΧΟΣ(2)'!K51</f>
        <v>0.39700000000000008</v>
      </c>
      <c r="K56" s="316">
        <f>'ΚΑΤΑΧΩΡΗΣΗ-ΕΛΕΓΧΟΣ(2)'!L51</f>
        <v>2.9759999999999995</v>
      </c>
      <c r="L56" s="316">
        <f>'ΚΑΤΑΧΩΡΗΣΗ-ΕΛΕΓΧΟΣ(2)'!M51</f>
        <v>1.5810000000000002</v>
      </c>
      <c r="M56" s="316">
        <f>'ΚΑΤΑΧΩΡΗΣΗ-ΕΛΕΓΧΟΣ(2)'!N51</f>
        <v>3.0839999999999987</v>
      </c>
      <c r="N56" s="464">
        <f>'ΚΑΤΑΧΩΡΗΣΗ-ΕΛΕΓΧΟΣ(2)'!O51</f>
        <v>0.20000000000000004</v>
      </c>
      <c r="O56" s="127"/>
      <c r="P56" s="127"/>
    </row>
    <row r="57" spans="2:40" ht="21.75" customHeight="1" x14ac:dyDescent="0.35">
      <c r="B57" s="431" t="s">
        <v>107</v>
      </c>
      <c r="C57" s="316">
        <f>'ΚΑΤΑΧΩΡΗΣΗ-ΕΛΕΓΧΟΣ(2)'!C52</f>
        <v>2.14</v>
      </c>
      <c r="D57" s="316">
        <f>'ΚΑΤΑΧΩΡΗΣΗ-ΕΛΕΓΧΟΣ(2)'!E52</f>
        <v>1.248</v>
      </c>
      <c r="E57" s="316">
        <f>'ΚΑΤΑΧΩΡΗΣΗ-ΕΛΕΓΧΟΣ(2)'!F52</f>
        <v>7.4240000000000004</v>
      </c>
      <c r="F57" s="316">
        <f>'ΚΑΤΑΧΩΡΗΣΗ-ΕΛΕΓΧΟΣ(2)'!G52</f>
        <v>0.88100000000000001</v>
      </c>
      <c r="G57" s="316">
        <f>'ΚΑΤΑΧΩΡΗΣΗ-ΕΛΕΓΧΟΣ(2)'!H52</f>
        <v>16.664999999999999</v>
      </c>
      <c r="H57" s="316">
        <f>'ΚΑΤΑΧΩΡΗΣΗ-ΕΛΕΓΧΟΣ(2)'!I52</f>
        <v>30.495000000000001</v>
      </c>
      <c r="I57" s="316">
        <f>'ΚΑΤΑΧΩΡΗΣΗ-ΕΛΕΓΧΟΣ(2)'!J52</f>
        <v>3.1070000000000007</v>
      </c>
      <c r="J57" s="447">
        <f>'ΚΑΤΑΧΩΡΗΣΗ-ΕΛΕΓΧΟΣ(2)'!K52</f>
        <v>11.922999999999998</v>
      </c>
      <c r="K57" s="316">
        <f>'ΚΑΤΑΧΩΡΗΣΗ-ΕΛΕΓΧΟΣ(2)'!L52</f>
        <v>2.9220000000000006</v>
      </c>
      <c r="L57" s="316">
        <f>'ΚΑΤΑΧΩΡΗΣΗ-ΕΛΕΓΧΟΣ(2)'!M52</f>
        <v>2.3400000000000007</v>
      </c>
      <c r="M57" s="316">
        <f>'ΚΑΤΑΧΩΡΗΣΗ-ΕΛΕΓΧΟΣ(2)'!N52</f>
        <v>5.71</v>
      </c>
      <c r="N57" s="464">
        <f>'ΚΑΤΑΧΩΡΗΣΗ-ΕΛΕΓΧΟΣ(2)'!O52</f>
        <v>1.9030000000000002</v>
      </c>
      <c r="O57" s="127"/>
      <c r="P57" s="127"/>
    </row>
    <row r="58" spans="2:40" ht="21.75" customHeight="1" x14ac:dyDescent="0.35">
      <c r="B58" s="431" t="s">
        <v>108</v>
      </c>
      <c r="C58" s="316">
        <f>'ΚΑΤΑΧΩΡΗΣΗ-ΕΛΕΓΧΟΣ(2)'!C53</f>
        <v>38.353999999999999</v>
      </c>
      <c r="D58" s="316">
        <f>'ΚΑΤΑΧΩΡΗΣΗ-ΕΛΕΓΧΟΣ(2)'!E53</f>
        <v>3.6850000000000001</v>
      </c>
      <c r="E58" s="316">
        <f>'ΚΑΤΑΧΩΡΗΣΗ-ΕΛΕΓΧΟΣ(2)'!F53</f>
        <v>21.082999999999998</v>
      </c>
      <c r="F58" s="316">
        <f>'ΚΑΤΑΧΩΡΗΣΗ-ΕΛΕΓΧΟΣ(2)'!G53</f>
        <v>20.661000000000001</v>
      </c>
      <c r="G58" s="316">
        <f>'ΚΑΤΑΧΩΡΗΣΗ-ΕΛΕΓΧΟΣ(2)'!H53</f>
        <v>118.11</v>
      </c>
      <c r="H58" s="316">
        <f>'ΚΑΤΑΧΩΡΗΣΗ-ΕΛΕΓΧΟΣ(2)'!I53</f>
        <v>47.740000000000009</v>
      </c>
      <c r="I58" s="316">
        <f>'ΚΑΤΑΧΩΡΗΣΗ-ΕΛΕΓΧΟΣ(2)'!J53</f>
        <v>12.540000000000001</v>
      </c>
      <c r="J58" s="447">
        <f>'ΚΑΤΑΧΩΡΗΣΗ-ΕΛΕΓΧΟΣ(2)'!K53</f>
        <v>74.614000000000004</v>
      </c>
      <c r="K58" s="316">
        <f>'ΚΑΤΑΧΩΡΗΣΗ-ΕΛΕΓΧΟΣ(2)'!L53</f>
        <v>8.2679999999999989</v>
      </c>
      <c r="L58" s="316">
        <f>'ΚΑΤΑΧΩΡΗΣΗ-ΕΛΕΓΧΟΣ(2)'!M53</f>
        <v>7.3000000000000007</v>
      </c>
      <c r="M58" s="316">
        <f>'ΚΑΤΑΧΩΡΗΣΗ-ΕΛΕΓΧΟΣ(2)'!N53</f>
        <v>4.0620000000000012</v>
      </c>
      <c r="N58" s="464">
        <f>'ΚΑΤΑΧΩΡΗΣΗ-ΕΛΕΓΧΟΣ(2)'!O53</f>
        <v>12.670000000000002</v>
      </c>
      <c r="O58" s="127"/>
      <c r="P58" s="127"/>
    </row>
    <row r="59" spans="2:40" ht="21.75" customHeight="1" x14ac:dyDescent="0.35">
      <c r="B59" s="431" t="s">
        <v>109</v>
      </c>
      <c r="C59" s="316">
        <f>'ΚΑΤΑΧΩΡΗΣΗ-ΕΛΕΓΧΟΣ(2)'!C54</f>
        <v>44.515000000000001</v>
      </c>
      <c r="D59" s="316">
        <f>'ΚΑΤΑΧΩΡΗΣΗ-ΕΛΕΓΧΟΣ(2)'!E54</f>
        <v>2.8239999999999972</v>
      </c>
      <c r="E59" s="316">
        <f>'ΚΑΤΑΧΩΡΗΣΗ-ΕΛΕΓΧΟΣ(2)'!F54</f>
        <v>4.181</v>
      </c>
      <c r="F59" s="316">
        <f>'ΚΑΤΑΧΩΡΗΣΗ-ΕΛΕΓΧΟΣ(2)'!G54</f>
        <v>9.5280000000000005</v>
      </c>
      <c r="G59" s="316">
        <f>'ΚΑΤΑΧΩΡΗΣΗ-ΕΛΕΓΧΟΣ(2)'!H54</f>
        <v>53.908999999999999</v>
      </c>
      <c r="H59" s="316">
        <f>'ΚΑΤΑΧΩΡΗΣΗ-ΕΛΕΓΧΟΣ(2)'!I54</f>
        <v>15.916000000000002</v>
      </c>
      <c r="I59" s="316">
        <f>'ΚΑΤΑΧΩΡΗΣΗ-ΕΛΕΓΧΟΣ(2)'!J54</f>
        <v>8.016</v>
      </c>
      <c r="J59" s="447">
        <f>'ΚΑΤΑΧΩΡΗΣΗ-ΕΛΕΓΧΟΣ(2)'!K54</f>
        <v>33.962999999999994</v>
      </c>
      <c r="K59" s="316">
        <f>'ΚΑΤΑΧΩΡΗΣΗ-ΕΛΕΓΧΟΣ(2)'!L54</f>
        <v>12.603</v>
      </c>
      <c r="L59" s="316">
        <f>'ΚΑΤΑΧΩΡΗΣΗ-ΕΛΕΓΧΟΣ(2)'!M54</f>
        <v>6.6760000000000019</v>
      </c>
      <c r="M59" s="316">
        <f>'ΚΑΤΑΧΩΡΗΣΗ-ΕΛΕΓΧΟΣ(2)'!N54</f>
        <v>2.4510000000000005</v>
      </c>
      <c r="N59" s="464">
        <f>'ΚΑΤΑΧΩΡΗΣΗ-ΕΛΕΓΧΟΣ(2)'!O54</f>
        <v>24.201000000000004</v>
      </c>
      <c r="O59" s="127"/>
      <c r="P59" s="127"/>
    </row>
    <row r="60" spans="2:40" ht="21.75" customHeight="1" x14ac:dyDescent="0.35">
      <c r="B60" s="431" t="s">
        <v>110</v>
      </c>
      <c r="C60" s="316">
        <f>'ΚΑΤΑΧΩΡΗΣΗ-ΕΛΕΓΧΟΣ(2)'!C55</f>
        <v>17.669</v>
      </c>
      <c r="D60" s="316">
        <f>'ΚΑΤΑΧΩΡΗΣΗ-ΕΛΕΓΧΟΣ(2)'!E55</f>
        <v>6.1319999999999997</v>
      </c>
      <c r="E60" s="316">
        <f>'ΚΑΤΑΧΩΡΗΣΗ-ΕΛΕΓΧΟΣ(2)'!F55</f>
        <v>8.891</v>
      </c>
      <c r="F60" s="316">
        <f>'ΚΑΤΑΧΩΡΗΣΗ-ΕΛΕΓΧΟΣ(2)'!G55</f>
        <v>5.944</v>
      </c>
      <c r="G60" s="316">
        <f>'ΚΑΤΑΧΩΡΗΣΗ-ΕΛΕΓΧΟΣ(2)'!H55</f>
        <v>32.283000000000001</v>
      </c>
      <c r="H60" s="316">
        <f>'ΚΑΤΑΧΩΡΗΣΗ-ΕΛΕΓΧΟΣ(2)'!I55</f>
        <v>15.670000000000002</v>
      </c>
      <c r="I60" s="316">
        <f>'ΚΑΤΑΧΩΡΗΣΗ-ΕΛΕΓΧΟΣ(2)'!J55</f>
        <v>6.0219999999999994</v>
      </c>
      <c r="J60" s="447">
        <f>'ΚΑΤΑΧΩΡΗΣΗ-ΕΛΕΓΧΟΣ(2)'!K55</f>
        <v>19.801000000000002</v>
      </c>
      <c r="K60" s="316">
        <f>'ΚΑΤΑΧΩΡΗΣΗ-ΕΛΕΓΧΟΣ(2)'!L55</f>
        <v>9.5170000000000012</v>
      </c>
      <c r="L60" s="316">
        <f>'ΚΑΤΑΧΩΡΗΣΗ-ΕΛΕΓΧΟΣ(2)'!M55</f>
        <v>2.9200000000000004</v>
      </c>
      <c r="M60" s="316">
        <f>'ΚΑΤΑΧΩΡΗΣΗ-ΕΛΕΓΧΟΣ(2)'!N55</f>
        <v>1.4649999999999996</v>
      </c>
      <c r="N60" s="464">
        <f>'ΚΑΤΑΧΩΡΗΣΗ-ΕΛΕΓΧΟΣ(2)'!O55</f>
        <v>35.414000000000001</v>
      </c>
      <c r="O60" s="127"/>
      <c r="P60" s="127"/>
    </row>
    <row r="61" spans="2:40" ht="21.75" customHeight="1" x14ac:dyDescent="0.35">
      <c r="B61" s="431" t="s">
        <v>115</v>
      </c>
      <c r="C61" s="316">
        <f>'ΚΑΤΑΧΩΡΗΣΗ-ΕΛΕΓΧΟΣ(2)'!C56</f>
        <v>8.2330000000000005</v>
      </c>
      <c r="D61" s="316">
        <f>'ΚΑΤΑΧΩΡΗΣΗ-ΕΛΕΓΧΟΣ(2)'!E56</f>
        <v>1.3140000000000001</v>
      </c>
      <c r="E61" s="316">
        <f>'ΚΑΤΑΧΩΡΗΣΗ-ΕΛΕΓΧΟΣ(2)'!F56</f>
        <v>4.3979999999999997</v>
      </c>
      <c r="F61" s="316">
        <f>'ΚΑΤΑΧΩΡΗΣΗ-ΕΛΕΓΧΟΣ(2)'!G56</f>
        <v>2.1760000000000002</v>
      </c>
      <c r="G61" s="316">
        <f>'ΚΑΤΑΧΩΡΗΣΗ-ΕΛΕΓΧΟΣ(2)'!H56</f>
        <v>25.326000000000001</v>
      </c>
      <c r="H61" s="316">
        <f>'ΚΑΤΑΧΩΡΗΣΗ-ΕΛΕΓΧΟΣ(2)'!I56</f>
        <v>11.062000000000003</v>
      </c>
      <c r="I61" s="316">
        <f>'ΚΑΤΑΧΩΡΗΣΗ-ΕΛΕΓΧΟΣ(2)'!J56</f>
        <v>4.1559999999999988</v>
      </c>
      <c r="J61" s="447">
        <f>'ΚΑΤΑΧΩΡΗΣΗ-ΕΛΕΓΧΟΣ(2)'!K56</f>
        <v>8.1390000000000029</v>
      </c>
      <c r="K61" s="316">
        <f>'ΚΑΤΑΧΩΡΗΣΗ-ΕΛΕΓΧΟΣ(2)'!L56</f>
        <v>4.7410000000000005</v>
      </c>
      <c r="L61" s="316">
        <f>'ΚΑΤΑΧΩΡΗΣΗ-ΕΛΕΓΧΟΣ(2)'!M56</f>
        <v>1.8010000000000004</v>
      </c>
      <c r="M61" s="316">
        <f>'ΚΑΤΑΧΩΡΗΣΗ-ΕΛΕΓΧΟΣ(2)'!N56</f>
        <v>1.0959999999999999</v>
      </c>
      <c r="N61" s="464">
        <f>'ΚΑΤΑΧΩΡΗΣΗ-ΕΛΕΓΧΟΣ(2)'!O56</f>
        <v>20.325999999999997</v>
      </c>
      <c r="O61" s="127"/>
      <c r="P61" s="127"/>
    </row>
    <row r="62" spans="2:40" ht="21.75" customHeight="1" x14ac:dyDescent="0.35">
      <c r="B62" s="431" t="s">
        <v>111</v>
      </c>
      <c r="C62" s="316">
        <f>'ΚΑΤΑΧΩΡΗΣΗ-ΕΛΕΓΧΟΣ(2)'!C57</f>
        <v>3.137</v>
      </c>
      <c r="D62" s="316">
        <f>'ΚΑΤΑΧΩΡΗΣΗ-ΕΛΕΓΧΟΣ(2)'!E57</f>
        <v>0.96099999999999997</v>
      </c>
      <c r="E62" s="316">
        <f>'ΚΑΤΑΧΩΡΗΣΗ-ΕΛΕΓΧΟΣ(2)'!F57</f>
        <v>1.78</v>
      </c>
      <c r="F62" s="316">
        <f>'ΚΑΤΑΧΩΡΗΣΗ-ΕΛΕΓΧΟΣ(2)'!G57</f>
        <v>2.802</v>
      </c>
      <c r="G62" s="316">
        <f>'ΚΑΤΑΧΩΡΗΣΗ-ΕΛΕΓΧΟΣ(2)'!H57</f>
        <v>8.868999999999998</v>
      </c>
      <c r="H62" s="316">
        <f>'ΚΑΤΑΧΩΡΗΣΗ-ΕΛΕΓΧΟΣ(2)'!I57</f>
        <v>7.3170000000000002</v>
      </c>
      <c r="I62" s="316">
        <f>'ΚΑΤΑΧΩΡΗΣΗ-ΕΛΕΓΧΟΣ(2)'!J57</f>
        <v>0.89900000000000024</v>
      </c>
      <c r="J62" s="447">
        <f>'ΚΑΤΑΧΩΡΗΣΗ-ΕΛΕΓΧΟΣ(2)'!K57</f>
        <v>3.4400000000000004</v>
      </c>
      <c r="K62" s="316">
        <f>'ΚΑΤΑΧΩΡΗΣΗ-ΕΛΕΓΧΟΣ(2)'!L57</f>
        <v>2.7279999999999998</v>
      </c>
      <c r="L62" s="316">
        <f>'ΚΑΤΑΧΩΡΗΣΗ-ΕΛΕΓΧΟΣ(2)'!M57</f>
        <v>0.91000000000000036</v>
      </c>
      <c r="M62" s="316">
        <f>'ΚΑΤΑΧΩΡΗΣΗ-ΕΛΕΓΧΟΣ(2)'!N57</f>
        <v>0.71600000000000019</v>
      </c>
      <c r="N62" s="464">
        <f>'ΚΑΤΑΧΩΡΗΣΗ-ΕΛΕΓΧΟΣ(2)'!O57</f>
        <v>0</v>
      </c>
      <c r="O62" s="127"/>
      <c r="P62" s="127"/>
    </row>
    <row r="63" spans="2:40" ht="21.75" customHeight="1" x14ac:dyDescent="0.35">
      <c r="B63" s="432" t="s">
        <v>112</v>
      </c>
      <c r="C63" s="316">
        <f>'ΚΑΤΑΧΩΡΗΣΗ-ΕΛΕΓΧΟΣ(2)'!C58</f>
        <v>0.97599999999999998</v>
      </c>
      <c r="D63" s="316">
        <f>'ΚΑΤΑΧΩΡΗΣΗ-ΕΛΕΓΧΟΣ(2)'!E58</f>
        <v>0.105</v>
      </c>
      <c r="E63" s="316">
        <f>'ΚΑΤΑΧΩΡΗΣΗ-ΕΛΕΓΧΟΣ(2)'!F58</f>
        <v>0.22800000000000001</v>
      </c>
      <c r="F63" s="316">
        <f>'ΚΑΤΑΧΩΡΗΣΗ-ΕΛΕΓΧΟΣ(2)'!G58</f>
        <v>2.0219999999999998</v>
      </c>
      <c r="G63" s="316">
        <f>'ΚΑΤΑΧΩΡΗΣΗ-ΕΛΕΓΧΟΣ(2)'!H58</f>
        <v>6.1989999999999998</v>
      </c>
      <c r="H63" s="316">
        <f>'ΚΑΤΑΧΩΡΗΣΗ-ΕΛΕΓΧΟΣ(2)'!I58</f>
        <v>2.7469999999999999</v>
      </c>
      <c r="I63" s="316">
        <f>'ΚΑΤΑΧΩΡΗΣΗ-ΕΛΕΓΧΟΣ(2)'!J58</f>
        <v>0.192</v>
      </c>
      <c r="J63" s="447">
        <f>'ΚΑΤΑΧΩΡΗΣΗ-ΕΛΕΓΧΟΣ(2)'!K58</f>
        <v>1.2640000000000002</v>
      </c>
      <c r="K63" s="316">
        <f>'ΚΑΤΑΧΩΡΗΣΗ-ΕΛΕΓΧΟΣ(2)'!L58</f>
        <v>0.89100000000000013</v>
      </c>
      <c r="L63" s="316">
        <f>'ΚΑΤΑΧΩΡΗΣΗ-ΕΛΕΓΧΟΣ(2)'!M58</f>
        <v>0.29700000000000004</v>
      </c>
      <c r="M63" s="316">
        <f>'ΚΑΤΑΧΩΡΗΣΗ-ΕΛΕΓΧΟΣ(2)'!N58</f>
        <v>7.6000000000000012E-2</v>
      </c>
      <c r="N63" s="464">
        <f>'ΚΑΤΑΧΩΡΗΣΗ-ΕΛΕΓΧΟΣ(2)'!O58</f>
        <v>0</v>
      </c>
      <c r="O63" s="127"/>
      <c r="P63" s="127"/>
    </row>
    <row r="64" spans="2:40" ht="21.75" customHeight="1" x14ac:dyDescent="0.35">
      <c r="B64" s="432" t="s">
        <v>113</v>
      </c>
      <c r="C64" s="316">
        <f>'ΚΑΤΑΧΩΡΗΣΗ-ΕΛΕΓΧΟΣ(2)'!C59</f>
        <v>9.0999999999999998E-2</v>
      </c>
      <c r="D64" s="316">
        <f>'ΚΑΤΑΧΩΡΗΣΗ-ΕΛΕΓΧΟΣ(2)'!E59</f>
        <v>0</v>
      </c>
      <c r="E64" s="316">
        <f>'ΚΑΤΑΧΩΡΗΣΗ-ΕΛΕΓΧΟΣ(2)'!F59</f>
        <v>0</v>
      </c>
      <c r="F64" s="316">
        <f>'ΚΑΤΑΧΩΡΗΣΗ-ΕΛΕΓΧΟΣ(2)'!G59</f>
        <v>0.05</v>
      </c>
      <c r="G64" s="316">
        <f>'ΚΑΤΑΧΩΡΗΣΗ-ΕΛΕΓΧΟΣ(2)'!H59</f>
        <v>1.524</v>
      </c>
      <c r="H64" s="316">
        <f>'ΚΑΤΑΧΩΡΗΣΗ-ΕΛΕΓΧΟΣ(2)'!I59</f>
        <v>0.86600000000000021</v>
      </c>
      <c r="I64" s="316">
        <f>'ΚΑΤΑΧΩΡΗΣΗ-ΕΛΕΓΧΟΣ(2)'!J59</f>
        <v>2.4E-2</v>
      </c>
      <c r="J64" s="447">
        <f>'ΚΑΤΑΧΩΡΗΣΗ-ΕΛΕΓΧΟΣ(2)'!K59</f>
        <v>9.2999999999999999E-2</v>
      </c>
      <c r="K64" s="316">
        <f>'ΚΑΤΑΧΩΡΗΣΗ-ΕΛΕΓΧΟΣ(2)'!L59</f>
        <v>0</v>
      </c>
      <c r="L64" s="316">
        <f>'ΚΑΤΑΧΩΡΗΣΗ-ΕΛΕΓΧΟΣ(2)'!M59</f>
        <v>9.8000000000000004E-2</v>
      </c>
      <c r="M64" s="316">
        <f>'ΚΑΤΑΧΩΡΗΣΗ-ΕΛΕΓΧΟΣ(2)'!N59</f>
        <v>0</v>
      </c>
      <c r="N64" s="464">
        <f>'ΚΑΤΑΧΩΡΗΣΗ-ΕΛΕΓΧΟΣ(2)'!O59</f>
        <v>0</v>
      </c>
      <c r="O64" s="127"/>
      <c r="P64" s="127"/>
    </row>
    <row r="65" spans="2:16" ht="21.75" customHeight="1" thickBot="1" x14ac:dyDescent="0.4">
      <c r="B65" s="433" t="s">
        <v>120</v>
      </c>
      <c r="C65" s="316">
        <f>'ΚΑΤΑΧΩΡΗΣΗ-ΕΛΕΓΧΟΣ(2)'!C60</f>
        <v>7.0000000000000001E-3</v>
      </c>
      <c r="D65" s="316">
        <f>'ΚΑΤΑΧΩΡΗΣΗ-ΕΛΕΓΧΟΣ(2)'!E60</f>
        <v>6.0000000000000001E-3</v>
      </c>
      <c r="E65" s="316">
        <f>'ΚΑΤΑΧΩΡΗΣΗ-ΕΛΕΓΧΟΣ(2)'!F60</f>
        <v>0</v>
      </c>
      <c r="F65" s="316">
        <f>'ΚΑΤΑΧΩΡΗΣΗ-ΕΛΕΓΧΟΣ(2)'!G60</f>
        <v>7.6999999999999999E-2</v>
      </c>
      <c r="G65" s="316">
        <f>'ΚΑΤΑΧΩΡΗΣΗ-ΕΛΕΓΧΟΣ(2)'!H60</f>
        <v>0.54209980586723205</v>
      </c>
      <c r="H65" s="316">
        <f>'ΚΑΤΑΧΩΡΗΣΗ-ΕΛΕΓΧΟΣ(2)'!I60</f>
        <v>0.161</v>
      </c>
      <c r="I65" s="316">
        <f>'ΚΑΤΑΧΩΡΗΣΗ-ΕΛΕΓΧΟΣ(2)'!J60</f>
        <v>3.5000000000000003E-2</v>
      </c>
      <c r="J65" s="447">
        <f>'ΚΑΤΑΧΩΡΗΣΗ-ΕΛΕΓΧΟΣ(2)'!K60</f>
        <v>3.4999999999999996E-2</v>
      </c>
      <c r="K65" s="316">
        <f>'ΚΑΤΑΧΩΡΗΣΗ-ΕΛΕΓΧΟΣ(2)'!L60</f>
        <v>0.186</v>
      </c>
      <c r="L65" s="316">
        <f>'ΚΑΤΑΧΩΡΗΣΗ-ΕΛΕΓΧΟΣ(2)'!M60</f>
        <v>0.20799999999999999</v>
      </c>
      <c r="M65" s="316">
        <f>'ΚΑΤΑΧΩΡΗΣΗ-ΕΛΕΓΧΟΣ(2)'!N60</f>
        <v>4.0000000000000001E-3</v>
      </c>
      <c r="N65" s="464">
        <f>'ΚΑΤΑΧΩΡΗΣΗ-ΕΛΕΓΧΟΣ(2)'!O60</f>
        <v>0</v>
      </c>
      <c r="O65" s="127"/>
      <c r="P65" s="127"/>
    </row>
    <row r="66" spans="2:16" ht="24" thickBot="1" x14ac:dyDescent="0.4">
      <c r="B66" s="369" t="s">
        <v>114</v>
      </c>
      <c r="C66" s="466">
        <f t="shared" ref="C66:K66" si="7">SUM(C55:C65)</f>
        <v>116.352</v>
      </c>
      <c r="D66" s="466">
        <f t="shared" si="7"/>
        <v>17.906999999999993</v>
      </c>
      <c r="E66" s="466">
        <f t="shared" si="7"/>
        <v>48.889000000000003</v>
      </c>
      <c r="F66" s="466">
        <f t="shared" si="7"/>
        <v>44.896999999999998</v>
      </c>
      <c r="G66" s="466">
        <f t="shared" si="7"/>
        <v>265.04209980586722</v>
      </c>
      <c r="H66" s="466">
        <f t="shared" si="7"/>
        <v>135.94916150088179</v>
      </c>
      <c r="I66" s="466">
        <f t="shared" si="7"/>
        <v>36.097999999999999</v>
      </c>
      <c r="J66" s="466">
        <f t="shared" si="7"/>
        <v>153.75299999999999</v>
      </c>
      <c r="K66" s="466">
        <f t="shared" si="7"/>
        <v>48.777999999999999</v>
      </c>
      <c r="L66" s="466">
        <f>SUM(L55:L65)</f>
        <v>24.714000000000006</v>
      </c>
      <c r="M66" s="466">
        <f>SUM(M55:M65)</f>
        <v>18.664000000000001</v>
      </c>
      <c r="N66" s="465">
        <f>SUM(N55:N65)</f>
        <v>94.808999999999997</v>
      </c>
    </row>
    <row r="67" spans="2:16" ht="21.95" customHeight="1" thickTop="1" thickBot="1" x14ac:dyDescent="0.35">
      <c r="B67" s="811" t="s">
        <v>184</v>
      </c>
      <c r="C67" s="811"/>
      <c r="D67" s="812"/>
      <c r="G67" s="132"/>
      <c r="N67" s="131"/>
    </row>
    <row r="68" spans="2:16" ht="32.25" customHeight="1" thickTop="1" x14ac:dyDescent="0.35">
      <c r="B68" s="805" t="s">
        <v>159</v>
      </c>
      <c r="C68" s="806"/>
      <c r="D68" s="753">
        <v>2.8</v>
      </c>
      <c r="E68" s="754">
        <f>'DAILY-ELEV-STR(1)'!AY44</f>
        <v>1E-3</v>
      </c>
      <c r="F68" s="755">
        <v>0</v>
      </c>
      <c r="G68" s="756">
        <f>SUM(E68:F68)</f>
        <v>1E-3</v>
      </c>
      <c r="H68" s="757">
        <f>'DAILY-ELEV-STR(1)'!AY46</f>
        <v>2.5890000000000004</v>
      </c>
      <c r="I68" s="758">
        <f>'DAILY-ELEV-STR(1)'!AY61</f>
        <v>2.8</v>
      </c>
      <c r="J68" s="759">
        <f>I68/D68*100</f>
        <v>100</v>
      </c>
      <c r="K68" s="407">
        <v>1.004</v>
      </c>
      <c r="L68" s="408">
        <f>K68/D68*100</f>
        <v>35.857142857142861</v>
      </c>
      <c r="M68" s="367">
        <v>1.069</v>
      </c>
      <c r="N68" s="245" t="s">
        <v>294</v>
      </c>
    </row>
    <row r="69" spans="2:16" ht="32.25" customHeight="1" x14ac:dyDescent="0.35">
      <c r="B69" s="807" t="s">
        <v>164</v>
      </c>
      <c r="C69" s="808"/>
      <c r="D69" s="741">
        <v>2</v>
      </c>
      <c r="E69" s="726">
        <f>'DAILY-ELEV-STR(1)'!BA44</f>
        <v>1E-3</v>
      </c>
      <c r="F69" s="727">
        <v>0</v>
      </c>
      <c r="G69" s="728">
        <f>SUM(E69:F69)</f>
        <v>1E-3</v>
      </c>
      <c r="H69" s="742">
        <f>'DAILY-ELEV-STR(1)'!BA46</f>
        <v>1.0680000000000001</v>
      </c>
      <c r="I69" s="730">
        <f>'DAILY-ELEV-STR(1)'!BA61</f>
        <v>2</v>
      </c>
      <c r="J69" s="731">
        <f>I69/D69*100</f>
        <v>100</v>
      </c>
      <c r="K69" s="409">
        <v>1.4610000000000001</v>
      </c>
      <c r="L69" s="404">
        <f>K69/D69*100</f>
        <v>73.05</v>
      </c>
      <c r="M69" s="311">
        <v>1.4730000000000001</v>
      </c>
      <c r="N69" s="145" t="s">
        <v>295</v>
      </c>
    </row>
    <row r="70" spans="2:16" ht="32.25" customHeight="1" thickBot="1" x14ac:dyDescent="0.4">
      <c r="B70" s="809" t="s">
        <v>161</v>
      </c>
      <c r="C70" s="810"/>
      <c r="D70" s="743">
        <v>4.4539999999999997</v>
      </c>
      <c r="E70" s="744">
        <f>'DAILY-ELEV-STR(1)'!BC44</f>
        <v>0</v>
      </c>
      <c r="F70" s="745">
        <v>0</v>
      </c>
      <c r="G70" s="746">
        <f>SUM(E70:F70)</f>
        <v>0</v>
      </c>
      <c r="H70" s="747">
        <f>'DAILY-ELEV-STR(1)'!BC46</f>
        <v>2.6360000000000001</v>
      </c>
      <c r="I70" s="748">
        <f>'DAILY-ELEV-STR(1)'!BC61</f>
        <v>4.4541319775000217</v>
      </c>
      <c r="J70" s="749">
        <f>I70/D70*100</f>
        <v>100.00296312303595</v>
      </c>
      <c r="K70" s="410">
        <v>2.8969999999999998</v>
      </c>
      <c r="L70" s="461">
        <f>K70/D70*100</f>
        <v>65.042658284687917</v>
      </c>
      <c r="M70" s="406">
        <v>3.012</v>
      </c>
      <c r="N70" s="583" t="s">
        <v>294</v>
      </c>
    </row>
    <row r="71" spans="2:16" ht="23.25" customHeight="1" thickTop="1" x14ac:dyDescent="0.35">
      <c r="B71" s="416" t="s">
        <v>125</v>
      </c>
      <c r="K71" s="100" t="s">
        <v>0</v>
      </c>
    </row>
    <row r="73" spans="2:16" ht="32.25" customHeight="1" x14ac:dyDescent="0.35">
      <c r="B73" s="233"/>
    </row>
    <row r="74" spans="2:16" ht="32.25" customHeight="1" x14ac:dyDescent="0.35">
      <c r="B74" s="233"/>
    </row>
    <row r="75" spans="2:16" ht="32.25" customHeight="1" x14ac:dyDescent="0.35">
      <c r="B75" s="233"/>
    </row>
    <row r="76" spans="2:16" ht="32.25" customHeight="1" x14ac:dyDescent="0.35">
      <c r="B76" s="233"/>
    </row>
    <row r="77" spans="2:16" ht="32.25" customHeight="1" x14ac:dyDescent="0.35">
      <c r="B77" s="233"/>
    </row>
  </sheetData>
  <mergeCells count="37">
    <mergeCell ref="M12:N12"/>
    <mergeCell ref="B23:C23"/>
    <mergeCell ref="B24:C24"/>
    <mergeCell ref="B25:C25"/>
    <mergeCell ref="B15:C15"/>
    <mergeCell ref="I15:J15"/>
    <mergeCell ref="K15:L15"/>
    <mergeCell ref="E13:H14"/>
    <mergeCell ref="I13:L14"/>
    <mergeCell ref="B36:C36"/>
    <mergeCell ref="B34:C34"/>
    <mergeCell ref="B26:C26"/>
    <mergeCell ref="B27:C27"/>
    <mergeCell ref="B28:C28"/>
    <mergeCell ref="B30:C30"/>
    <mergeCell ref="B29:C29"/>
    <mergeCell ref="B31:C31"/>
    <mergeCell ref="B32:C32"/>
    <mergeCell ref="B35:C35"/>
    <mergeCell ref="B33:C33"/>
    <mergeCell ref="B46:C46"/>
    <mergeCell ref="B41:C41"/>
    <mergeCell ref="B44:C44"/>
    <mergeCell ref="B37:C37"/>
    <mergeCell ref="B45:C45"/>
    <mergeCell ref="B43:C43"/>
    <mergeCell ref="B39:C39"/>
    <mergeCell ref="B40:C40"/>
    <mergeCell ref="B38:C38"/>
    <mergeCell ref="B42:C42"/>
    <mergeCell ref="B68:C68"/>
    <mergeCell ref="B69:C69"/>
    <mergeCell ref="B70:C70"/>
    <mergeCell ref="B67:D67"/>
    <mergeCell ref="B47:C47"/>
    <mergeCell ref="B49:C49"/>
    <mergeCell ref="B53:N53"/>
  </mergeCells>
  <phoneticPr fontId="44" type="noConversion"/>
  <printOptions horizontalCentered="1" gridLinesSet="0"/>
  <pageMargins left="0.19" right="0.14000000000000001" top="0.56000000000000005" bottom="0.54" header="0.3" footer="0.55118110236220497"/>
  <pageSetup paperSize="9"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1:AV83"/>
  <sheetViews>
    <sheetView showGridLines="0" topLeftCell="A13" zoomScale="65" zoomScaleNormal="65" workbookViewId="0">
      <selection activeCell="I61" sqref="I61"/>
    </sheetView>
  </sheetViews>
  <sheetFormatPr defaultColWidth="9.28515625" defaultRowHeight="32.25" customHeight="1" x14ac:dyDescent="0.3"/>
  <cols>
    <col min="1" max="1" width="9.28515625" style="100" customWidth="1"/>
    <col min="2" max="2" width="20.42578125" style="100" customWidth="1"/>
    <col min="3" max="3" width="14.42578125" style="100" customWidth="1"/>
    <col min="4" max="5" width="15.7109375" style="100" customWidth="1"/>
    <col min="6" max="6" width="14.5703125" style="100" customWidth="1"/>
    <col min="7" max="7" width="15.140625" style="100" customWidth="1"/>
    <col min="8" max="9" width="15.42578125" style="100" customWidth="1"/>
    <col min="10" max="10" width="16" style="100" customWidth="1"/>
    <col min="11" max="11" width="15.28515625" style="100" customWidth="1"/>
    <col min="12" max="12" width="18.5703125" style="100" customWidth="1"/>
    <col min="13" max="13" width="19.42578125" style="100" customWidth="1"/>
    <col min="14" max="14" width="13.42578125" style="100" customWidth="1"/>
    <col min="15" max="15" width="9.42578125" style="100" bestFit="1" customWidth="1"/>
    <col min="16" max="16" width="9.28515625" style="100"/>
    <col min="17" max="17" width="10.85546875" style="100" bestFit="1" customWidth="1"/>
    <col min="18" max="18" width="10" style="100" bestFit="1" customWidth="1"/>
    <col min="19" max="19" width="14.140625" style="100" bestFit="1" customWidth="1"/>
    <col min="20" max="16384" width="9.28515625" style="100"/>
  </cols>
  <sheetData>
    <row r="1" spans="2:19" ht="12.75" customHeight="1" x14ac:dyDescent="0.3"/>
    <row r="2" spans="2:19" ht="16.5" x14ac:dyDescent="0.3">
      <c r="B2" s="101"/>
      <c r="C2" s="101"/>
      <c r="D2" s="101"/>
    </row>
    <row r="3" spans="2:19" ht="16.5" x14ac:dyDescent="0.3">
      <c r="B3" s="101"/>
      <c r="C3" s="101"/>
      <c r="D3" s="101"/>
    </row>
    <row r="4" spans="2:19" ht="16.5" x14ac:dyDescent="0.3">
      <c r="B4" s="101"/>
      <c r="C4" s="101"/>
      <c r="D4" s="101"/>
    </row>
    <row r="5" spans="2:19" ht="32.25" customHeight="1" x14ac:dyDescent="0.3">
      <c r="B5" s="101"/>
      <c r="C5" s="101"/>
      <c r="D5" s="101"/>
    </row>
    <row r="6" spans="2:19" ht="16.5" x14ac:dyDescent="0.3">
      <c r="B6" s="101"/>
      <c r="C6" s="101"/>
      <c r="D6" s="101"/>
    </row>
    <row r="7" spans="2:19" ht="16.5" x14ac:dyDescent="0.3">
      <c r="B7" s="101"/>
      <c r="C7" s="101"/>
      <c r="D7" s="101"/>
    </row>
    <row r="8" spans="2:19" ht="16.5" x14ac:dyDescent="0.3">
      <c r="C8" s="105"/>
      <c r="D8" s="105"/>
      <c r="E8" s="104"/>
      <c r="F8" s="104"/>
      <c r="G8" s="104"/>
      <c r="H8" s="106"/>
      <c r="I8" s="106"/>
      <c r="J8" s="106"/>
      <c r="K8" s="104"/>
      <c r="L8" s="104"/>
      <c r="M8" s="104"/>
    </row>
    <row r="9" spans="2:19" ht="20.25" x14ac:dyDescent="0.3">
      <c r="B9" s="257" t="s">
        <v>205</v>
      </c>
      <c r="C9" s="105"/>
      <c r="D9" s="105"/>
      <c r="E9" s="103"/>
      <c r="F9" s="105"/>
      <c r="G9" s="105"/>
      <c r="H9" s="104"/>
      <c r="I9" s="104"/>
      <c r="J9" s="104"/>
    </row>
    <row r="10" spans="2:19" ht="17.25" thickBot="1" x14ac:dyDescent="0.35">
      <c r="C10" s="105"/>
      <c r="D10" s="105"/>
      <c r="E10" s="103"/>
      <c r="F10" s="105"/>
      <c r="G10" s="105"/>
      <c r="H10" s="104"/>
      <c r="I10" s="104"/>
      <c r="J10" s="104"/>
      <c r="L10" s="876">
        <f>'ΚΑΤΑΧΩΡΗΣΗ-ΕΛΕΓΧΟΣ(2)'!O12</f>
        <v>46135</v>
      </c>
      <c r="M10" s="831"/>
      <c r="S10" s="209"/>
    </row>
    <row r="11" spans="2:19" ht="19.5" thickTop="1" x14ac:dyDescent="0.3">
      <c r="B11" s="107"/>
      <c r="C11" s="108"/>
      <c r="D11" s="108"/>
      <c r="E11" s="109"/>
      <c r="F11" s="889" t="s">
        <v>76</v>
      </c>
      <c r="G11" s="890"/>
      <c r="H11" s="883" t="s">
        <v>118</v>
      </c>
      <c r="I11" s="883"/>
      <c r="J11" s="883"/>
      <c r="K11" s="884"/>
      <c r="L11" s="224" t="s">
        <v>88</v>
      </c>
      <c r="M11" s="110"/>
    </row>
    <row r="12" spans="2:19" ht="18.75" x14ac:dyDescent="0.3">
      <c r="B12" s="111"/>
      <c r="C12" s="112"/>
      <c r="D12" s="112"/>
      <c r="E12" s="226" t="s">
        <v>81</v>
      </c>
      <c r="F12" s="885" t="s">
        <v>116</v>
      </c>
      <c r="G12" s="886"/>
      <c r="H12" s="887" t="s">
        <v>119</v>
      </c>
      <c r="I12" s="888"/>
      <c r="J12" s="887" t="s">
        <v>87</v>
      </c>
      <c r="K12" s="888"/>
      <c r="L12" s="225" t="s">
        <v>77</v>
      </c>
      <c r="M12" s="115"/>
    </row>
    <row r="13" spans="2:19" ht="20.25" x14ac:dyDescent="0.3">
      <c r="B13" s="877" t="s">
        <v>138</v>
      </c>
      <c r="C13" s="878"/>
      <c r="D13" s="879"/>
      <c r="E13" s="226" t="s">
        <v>82</v>
      </c>
      <c r="F13" s="355" t="s">
        <v>84</v>
      </c>
      <c r="G13" s="265" t="s">
        <v>85</v>
      </c>
      <c r="H13" s="278"/>
      <c r="I13" s="265" t="s">
        <v>74</v>
      </c>
      <c r="J13" s="273"/>
      <c r="K13" s="265" t="s">
        <v>74</v>
      </c>
      <c r="L13" s="114"/>
      <c r="M13" s="115"/>
    </row>
    <row r="14" spans="2:19" ht="20.25" x14ac:dyDescent="0.3">
      <c r="B14" s="111"/>
      <c r="C14" s="112"/>
      <c r="D14" s="112"/>
      <c r="E14" s="113"/>
      <c r="F14" s="356" t="str">
        <f>'ΚΑΤΑΧΩΡΗΣΗ-ΕΛΕΓΧΟΣ(2)'!F16</f>
        <v>24ώρου</v>
      </c>
      <c r="G14" s="265" t="s">
        <v>123</v>
      </c>
      <c r="H14" s="273" t="s">
        <v>86</v>
      </c>
      <c r="I14" s="265" t="s">
        <v>75</v>
      </c>
      <c r="J14" s="273" t="s">
        <v>83</v>
      </c>
      <c r="K14" s="265" t="s">
        <v>75</v>
      </c>
      <c r="L14" s="472">
        <f>'ΚΑΤΑΧΩΡΗΣΗ-ΕΛΕΓΧΟΣ(2)'!N17</f>
        <v>2025</v>
      </c>
      <c r="M14" s="119"/>
    </row>
    <row r="15" spans="2:19" ht="21" thickBot="1" x14ac:dyDescent="0.35">
      <c r="B15" s="120"/>
      <c r="C15" s="121"/>
      <c r="D15" s="121"/>
      <c r="E15" s="122" t="s">
        <v>83</v>
      </c>
      <c r="F15" s="357" t="s">
        <v>83</v>
      </c>
      <c r="G15" s="280">
        <f>'ΚΑΤΑΧΩΡΗΣΗ-ΕΛΕΓΧΟΣ(2)'!N17</f>
        <v>2025</v>
      </c>
      <c r="H15" s="274"/>
      <c r="I15" s="266" t="s">
        <v>57</v>
      </c>
      <c r="J15" s="274"/>
      <c r="K15" s="266" t="s">
        <v>57</v>
      </c>
      <c r="L15" s="261" t="s">
        <v>83</v>
      </c>
      <c r="M15" s="223" t="s">
        <v>104</v>
      </c>
      <c r="O15" s="171"/>
    </row>
    <row r="16" spans="2:19" ht="24" customHeight="1" thickTop="1" x14ac:dyDescent="0.3">
      <c r="B16" s="880" t="s">
        <v>168</v>
      </c>
      <c r="C16" s="881"/>
      <c r="D16" s="882"/>
      <c r="E16" s="138"/>
      <c r="F16" s="358"/>
      <c r="G16" s="281"/>
      <c r="H16" s="244"/>
      <c r="I16" s="329"/>
      <c r="J16" s="323"/>
      <c r="K16" s="267"/>
      <c r="L16" s="262"/>
      <c r="M16" s="533"/>
      <c r="O16" s="171"/>
    </row>
    <row r="17" spans="2:48" ht="33" customHeight="1" x14ac:dyDescent="0.35">
      <c r="B17" s="873" t="s">
        <v>89</v>
      </c>
      <c r="C17" s="874"/>
      <c r="D17" s="875"/>
      <c r="E17" s="249">
        <v>115</v>
      </c>
      <c r="F17" s="359">
        <f>'DAILY-ELEV-STR(1)'!D44</f>
        <v>0.12</v>
      </c>
      <c r="G17" s="282">
        <f>'DAILY-ELEV-STR(1)'!D46</f>
        <v>19.484999999999999</v>
      </c>
      <c r="H17" s="196">
        <f>'DAILY-ELEV-STR(1)'!D61</f>
        <v>41.866999999999997</v>
      </c>
      <c r="I17" s="330">
        <f>H17/E17*100</f>
        <v>36.40608695652174</v>
      </c>
      <c r="J17" s="324">
        <f>'ΚΑΤΑΧΩΡΗΣΗ-ΕΛΕΓΧΟΣ(2)'!L22</f>
        <v>22.007999999999999</v>
      </c>
      <c r="K17" s="268">
        <f>J17/E17*100</f>
        <v>19.137391304347826</v>
      </c>
      <c r="L17" s="263">
        <f>'ΕΙΣΡΟΕΣ-ΕΚΡΟΕΣ(3)'!M23</f>
        <v>25.538</v>
      </c>
      <c r="M17" s="534" t="str">
        <f>'ΕΙΣΡΟΕΣ-ΕΚΡΟΕΣ(3)'!N23</f>
        <v>7/1</v>
      </c>
      <c r="O17" s="171"/>
    </row>
    <row r="18" spans="2:48" ht="33" customHeight="1" x14ac:dyDescent="0.35">
      <c r="B18" s="859" t="s">
        <v>92</v>
      </c>
      <c r="C18" s="851"/>
      <c r="D18" s="852"/>
      <c r="E18" s="140">
        <v>17.100000000000001</v>
      </c>
      <c r="F18" s="360">
        <f>'DAILY-ELEV-STR(1)'!H44</f>
        <v>3.3000000000000002E-2</v>
      </c>
      <c r="G18" s="283">
        <f>'DAILY-ELEV-STR(1)'!H46</f>
        <v>3.319</v>
      </c>
      <c r="H18" s="141">
        <f>'DAILY-ELEV-STR(1)'!H61</f>
        <v>3.5720000000000001</v>
      </c>
      <c r="I18" s="331">
        <f t="shared" ref="I18:I25" si="0">H18/E18*100</f>
        <v>20.888888888888886</v>
      </c>
      <c r="J18" s="325">
        <f>'ΚΑΤΑΧΩΡΗΣΗ-ΕΛΕΓΧΟΣ(2)'!L26</f>
        <v>4.5069999999999997</v>
      </c>
      <c r="K18" s="269">
        <f t="shared" ref="K18:K25" si="1">J18/E18*100</f>
        <v>26.35672514619883</v>
      </c>
      <c r="L18" s="263">
        <f>'ΕΙΣΡΟΕΣ-ΕΚΡΟΕΣ(3)'!M24</f>
        <v>4.726</v>
      </c>
      <c r="M18" s="534" t="str">
        <f>'ΕΙΣΡΟΕΣ-ΕΚΡΟΕΣ(3)'!N24</f>
        <v>28/3</v>
      </c>
      <c r="N18" s="127"/>
      <c r="O18" s="171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2:48" ht="33" customHeight="1" x14ac:dyDescent="0.35">
      <c r="B19" s="859" t="s">
        <v>93</v>
      </c>
      <c r="C19" s="851"/>
      <c r="D19" s="852"/>
      <c r="E19" s="140">
        <v>13.85</v>
      </c>
      <c r="F19" s="360">
        <f>'DAILY-ELEV-STR(1)'!I44</f>
        <v>8.9999999999999993E-3</v>
      </c>
      <c r="G19" s="283">
        <f>'DAILY-ELEV-STR(1)'!I46</f>
        <v>1.5150000000000001</v>
      </c>
      <c r="H19" s="141">
        <f>'DAILY-ELEV-STR(1)'!I61</f>
        <v>2.4449999999999998</v>
      </c>
      <c r="I19" s="331">
        <f t="shared" si="0"/>
        <v>17.653429602888085</v>
      </c>
      <c r="J19" s="325">
        <f>'ΚΑΤΑΧΩΡΗΣΗ-ΕΛΕΓΧΟΣ(2)'!L27</f>
        <v>3.2869999999999999</v>
      </c>
      <c r="K19" s="269">
        <f t="shared" si="1"/>
        <v>23.732851985559567</v>
      </c>
      <c r="L19" s="263">
        <f>'ΕΙΣΡΟΕΣ-ΕΚΡΟΕΣ(3)'!M25</f>
        <v>5.6509999999999998</v>
      </c>
      <c r="M19" s="534" t="str">
        <f>'ΕΙΣΡΟΕΣ-ΕΚΡΟΕΣ(3)'!N25</f>
        <v>1/1</v>
      </c>
      <c r="N19" s="127"/>
      <c r="O19" s="171"/>
    </row>
    <row r="20" spans="2:48" ht="33" customHeight="1" x14ac:dyDescent="0.35">
      <c r="B20" s="859" t="s">
        <v>94</v>
      </c>
      <c r="C20" s="851"/>
      <c r="D20" s="852"/>
      <c r="E20" s="140">
        <v>15.5</v>
      </c>
      <c r="F20" s="360">
        <f>'DAILY-ELEV-STR(1)'!J44</f>
        <v>2.1000000000000005E-2</v>
      </c>
      <c r="G20" s="283">
        <f>'DAILY-ELEV-STR(1)'!J46</f>
        <v>3.157</v>
      </c>
      <c r="H20" s="141">
        <f>'DAILY-ELEV-STR(1)'!J61</f>
        <v>5.7640000000000002</v>
      </c>
      <c r="I20" s="331">
        <f t="shared" si="0"/>
        <v>37.187096774193549</v>
      </c>
      <c r="J20" s="325">
        <f>'ΚΑΤΑΧΩΡΗΣΗ-ΕΛΕΓΧΟΣ(2)'!L28</f>
        <v>5.78</v>
      </c>
      <c r="K20" s="269">
        <f t="shared" si="1"/>
        <v>37.29032258064516</v>
      </c>
      <c r="L20" s="263">
        <f>'ΕΙΣΡΟΕΣ-ΕΚΡΟΕΣ(3)'!M26</f>
        <v>5.9939999999999998</v>
      </c>
      <c r="M20" s="534" t="str">
        <f>'ΕΙΣΡΟΕΣ-ΕΚΡΟΕΣ(3)'!N26</f>
        <v>30/5</v>
      </c>
      <c r="O20" s="171"/>
    </row>
    <row r="21" spans="2:48" ht="33" customHeight="1" x14ac:dyDescent="0.35">
      <c r="B21" s="859" t="s">
        <v>95</v>
      </c>
      <c r="C21" s="851"/>
      <c r="D21" s="852"/>
      <c r="E21" s="140">
        <v>13.5</v>
      </c>
      <c r="F21" s="360">
        <f>'DAILY-ELEV-STR(1)'!K44</f>
        <v>3.3000000000000002E-2</v>
      </c>
      <c r="G21" s="283">
        <f>'DAILY-ELEV-STR(1)'!K46</f>
        <v>7.5129999999999999</v>
      </c>
      <c r="H21" s="141">
        <f>'DAILY-ELEV-STR(1)'!K61</f>
        <v>7.1320000000000006</v>
      </c>
      <c r="I21" s="331">
        <f t="shared" si="0"/>
        <v>52.829629629629636</v>
      </c>
      <c r="J21" s="325">
        <f>'ΚΑΤΑΧΩΡΗΣΗ-ΕΛΕΓΧΟΣ(2)'!L29</f>
        <v>3.3809999999999998</v>
      </c>
      <c r="K21" s="269">
        <f t="shared" si="1"/>
        <v>25.044444444444441</v>
      </c>
      <c r="L21" s="263">
        <f>'ΕΙΣΡΟΕΣ-ΕΚΡΟΕΣ(3)'!M27</f>
        <v>3.7949999999999999</v>
      </c>
      <c r="M21" s="534" t="str">
        <f>'ΕΙΣΡΟΕΣ-ΕΚΡΟΕΣ(3)'!N27</f>
        <v>31/1</v>
      </c>
      <c r="O21" s="171"/>
    </row>
    <row r="22" spans="2:48" ht="33" customHeight="1" x14ac:dyDescent="0.35">
      <c r="B22" s="859" t="s">
        <v>69</v>
      </c>
      <c r="C22" s="851"/>
      <c r="D22" s="852"/>
      <c r="E22" s="140">
        <v>4.3</v>
      </c>
      <c r="F22" s="360">
        <f>'DAILY-ELEV-STR(1)'!L44</f>
        <v>0.10400000000000001</v>
      </c>
      <c r="G22" s="283">
        <f>'DAILY-ELEV-STR(1)'!L46</f>
        <v>17.135000000000002</v>
      </c>
      <c r="H22" s="141">
        <f>'DAILY-ELEV-STR(1)'!L61</f>
        <v>1.5169999999999999</v>
      </c>
      <c r="I22" s="331">
        <f t="shared" si="0"/>
        <v>35.279069767441861</v>
      </c>
      <c r="J22" s="326">
        <f>'ΚΑΤΑΧΩΡΗΣΗ-ΕΛΕΓΧΟΣ(2)'!L30</f>
        <v>2.6360000000000001</v>
      </c>
      <c r="K22" s="269">
        <f t="shared" si="1"/>
        <v>61.302325581395358</v>
      </c>
      <c r="L22" s="263">
        <f>'ΕΙΣΡΟΕΣ-ΕΚΡΟΕΣ(3)'!M28</f>
        <v>2.734</v>
      </c>
      <c r="M22" s="534" t="str">
        <f>'ΕΙΣΡΟΕΣ-ΕΚΡΟΕΣ(3)'!N28</f>
        <v>14/5</v>
      </c>
      <c r="O22" s="171"/>
    </row>
    <row r="23" spans="2:48" ht="33" customHeight="1" x14ac:dyDescent="0.35">
      <c r="B23" s="859" t="s">
        <v>96</v>
      </c>
      <c r="C23" s="851"/>
      <c r="D23" s="852"/>
      <c r="E23" s="140">
        <v>3.4</v>
      </c>
      <c r="F23" s="360">
        <f>'DAILY-ELEV-STR(1)'!N44</f>
        <v>5.0000000000000001E-3</v>
      </c>
      <c r="G23" s="283">
        <f>'DAILY-ELEV-STR(1)'!N46</f>
        <v>1.3220000000000003</v>
      </c>
      <c r="H23" s="141">
        <f>'DAILY-ELEV-STR(1)'!N61</f>
        <v>1.9480000000000002</v>
      </c>
      <c r="I23" s="331">
        <f t="shared" si="0"/>
        <v>57.294117647058826</v>
      </c>
      <c r="J23" s="325">
        <f>'ΚΑΤΑΧΩΡΗΣΗ-ΕΛΕΓΧΟΣ(2)'!L31</f>
        <v>1.272</v>
      </c>
      <c r="K23" s="269">
        <f t="shared" si="1"/>
        <v>37.411764705882355</v>
      </c>
      <c r="L23" s="263">
        <f>'ΕΙΣΡΟΕΣ-ΕΚΡΟΕΣ(3)'!M29</f>
        <v>1.393</v>
      </c>
      <c r="M23" s="534" t="str">
        <f>'ΕΙΣΡΟΕΣ-ΕΚΡΟΕΣ(3)'!N29</f>
        <v>21/2</v>
      </c>
      <c r="O23" s="171"/>
    </row>
    <row r="24" spans="2:48" ht="33.950000000000003" customHeight="1" thickBot="1" x14ac:dyDescent="0.4">
      <c r="B24" s="870" t="s">
        <v>103</v>
      </c>
      <c r="C24" s="871"/>
      <c r="D24" s="872"/>
      <c r="E24" s="258">
        <v>6.8</v>
      </c>
      <c r="F24" s="361">
        <f>'DAILY-ELEV-STR(1)'!M44</f>
        <v>0</v>
      </c>
      <c r="G24" s="286">
        <f>'DAILY-ELEV-STR(1)'!M46</f>
        <v>0</v>
      </c>
      <c r="H24" s="535">
        <f>'DAILY-ELEV-STR(1)'!M61</f>
        <v>0.14899999999999999</v>
      </c>
      <c r="I24" s="332">
        <f>H24/E24*100</f>
        <v>2.1911764705882355</v>
      </c>
      <c r="J24" s="328">
        <f>'ΚΑΤΑΧΩΡΗΣΗ-ΕΛΕΓΧΟΣ(2)'!L39</f>
        <v>1.119</v>
      </c>
      <c r="K24" s="271">
        <f>J24/E24*100</f>
        <v>16.455882352941174</v>
      </c>
      <c r="L24" s="263">
        <f>'ΕΙΣΡΟΕΣ-ΕΚΡΟΕΣ(3)'!M30</f>
        <v>1.9650000000000001</v>
      </c>
      <c r="M24" s="536" t="str">
        <f>'ΕΙΣΡΟΕΣ-ΕΚΡΟΕΣ(3)'!N30</f>
        <v>5/2</v>
      </c>
      <c r="N24" s="127"/>
    </row>
    <row r="25" spans="2:48" ht="23.25" customHeight="1" thickBot="1" x14ac:dyDescent="0.35">
      <c r="B25" s="856" t="s">
        <v>64</v>
      </c>
      <c r="C25" s="857"/>
      <c r="D25" s="858"/>
      <c r="E25" s="275">
        <f>SUM(E17:E24)</f>
        <v>189.45000000000002</v>
      </c>
      <c r="F25" s="362">
        <f>SUM(F17:F24)</f>
        <v>0.32500000000000001</v>
      </c>
      <c r="G25" s="284">
        <f>SUM(G17:G24)</f>
        <v>53.445999999999998</v>
      </c>
      <c r="H25" s="279">
        <f>SUM(H17:H24)</f>
        <v>64.394000000000005</v>
      </c>
      <c r="I25" s="270">
        <f t="shared" si="0"/>
        <v>33.989970968593298</v>
      </c>
      <c r="J25" s="327">
        <f>SUM(J17:J24)</f>
        <v>43.99</v>
      </c>
      <c r="K25" s="270">
        <f t="shared" si="1"/>
        <v>23.219846925310105</v>
      </c>
      <c r="L25" s="482">
        <f>'ΕΙΣΡΟΕΣ-ΕΚΡΟΕΣ(3)'!M31</f>
        <v>48.933999999999997</v>
      </c>
      <c r="M25" s="537" t="str">
        <f>'ΕΙΣΡΟΕΣ-ΕΚΡΟΕΣ(3)'!N31</f>
        <v>29/1</v>
      </c>
      <c r="O25" s="171"/>
    </row>
    <row r="26" spans="2:48" ht="19.5" customHeight="1" x14ac:dyDescent="0.3">
      <c r="B26" s="864" t="s">
        <v>145</v>
      </c>
      <c r="C26" s="865"/>
      <c r="D26" s="866"/>
      <c r="E26" s="249"/>
      <c r="F26" s="359"/>
      <c r="G26" s="282"/>
      <c r="H26" s="196"/>
      <c r="I26" s="330"/>
      <c r="J26" s="324"/>
      <c r="K26" s="268"/>
      <c r="L26" s="263"/>
      <c r="M26" s="250"/>
      <c r="O26" s="171"/>
    </row>
    <row r="27" spans="2:48" ht="33" customHeight="1" x14ac:dyDescent="0.35">
      <c r="B27" s="859" t="s">
        <v>90</v>
      </c>
      <c r="C27" s="851"/>
      <c r="D27" s="852"/>
      <c r="E27" s="140">
        <v>52.375</v>
      </c>
      <c r="F27" s="360">
        <f>'DAILY-ELEV-STR(1)'!E44</f>
        <v>5.6000000000000001E-2</v>
      </c>
      <c r="G27" s="283">
        <f>'DAILY-ELEV-STR(1)'!E46</f>
        <v>17.938000000000002</v>
      </c>
      <c r="H27" s="141">
        <f>'DAILY-ELEV-STR(1)'!E61</f>
        <v>20.376999999999999</v>
      </c>
      <c r="I27" s="331">
        <f>H27/E27*100</f>
        <v>38.905966587112168</v>
      </c>
      <c r="J27" s="325">
        <f>'ΚΑΤΑΧΩΡΗΣΗ-ΕΛΕΓΧΟΣ(2)'!L23</f>
        <v>12.513999999999999</v>
      </c>
      <c r="K27" s="269">
        <f>J27/E27*100</f>
        <v>23.89307875894988</v>
      </c>
      <c r="L27" s="264">
        <f>'ΕΙΣΡΟΕΣ-ΕΚΡΟΕΣ(3)'!M33</f>
        <v>15.348000000000001</v>
      </c>
      <c r="M27" s="534" t="str">
        <f>'ΕΙΣΡΟΕΣ-ΕΚΡΟΕΣ(3)'!N33</f>
        <v>3/1</v>
      </c>
      <c r="N27" s="102"/>
      <c r="O27" s="17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</row>
    <row r="28" spans="2:48" ht="33" customHeight="1" x14ac:dyDescent="0.35">
      <c r="B28" s="859" t="s">
        <v>129</v>
      </c>
      <c r="C28" s="851"/>
      <c r="D28" s="852"/>
      <c r="E28" s="140">
        <v>17.167999999999999</v>
      </c>
      <c r="F28" s="360">
        <f>'DAILY-ELEV-STR(1)'!G44</f>
        <v>2.3E-2</v>
      </c>
      <c r="G28" s="283">
        <f>'DAILY-ELEV-STR(1)'!G46</f>
        <v>8.32</v>
      </c>
      <c r="H28" s="141">
        <f>'DAILY-ELEV-STR(1)'!G61</f>
        <v>8.3550000000000004</v>
      </c>
      <c r="I28" s="331">
        <f>H28/E28*100</f>
        <v>48.666123019571302</v>
      </c>
      <c r="J28" s="325">
        <f>'ΚΑΤΑΧΩΡΗΣΗ-ΕΛΕΓΧΟΣ(2)'!L25</f>
        <v>4.3209999999999997</v>
      </c>
      <c r="K28" s="269">
        <f>J28/E28*100</f>
        <v>25.168918918918919</v>
      </c>
      <c r="L28" s="264">
        <f>'ΕΙΣΡΟΕΣ-ΕΚΡΟΕΣ(3)'!M34</f>
        <v>5.2060000000000004</v>
      </c>
      <c r="M28" s="534" t="str">
        <f>'ΕΙΣΡΟΕΣ-ΕΚΡΟΕΣ(3)'!N34</f>
        <v>3/1</v>
      </c>
      <c r="N28" s="127"/>
      <c r="O28" s="171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</row>
    <row r="29" spans="2:48" ht="33" customHeight="1" thickBot="1" x14ac:dyDescent="0.4">
      <c r="B29" s="859" t="s">
        <v>97</v>
      </c>
      <c r="C29" s="851"/>
      <c r="D29" s="852"/>
      <c r="E29" s="140">
        <v>2.1800000000000002</v>
      </c>
      <c r="F29" s="360">
        <f>'DAILY-ELEV-STR(1)'!O44</f>
        <v>1E-3</v>
      </c>
      <c r="G29" s="283">
        <f>'DAILY-ELEV-STR(1)'!O46</f>
        <v>0.91800000000000015</v>
      </c>
      <c r="H29" s="141">
        <f>'DAILY-ELEV-STR(1)'!O61</f>
        <v>1.974</v>
      </c>
      <c r="I29" s="331">
        <f>H29/E29*100</f>
        <v>90.550458715596321</v>
      </c>
      <c r="J29" s="325">
        <f>'ΚΑΤΑΧΩΡΗΣΗ-ΕΛΕΓΧΟΣ(2)'!L32</f>
        <v>0</v>
      </c>
      <c r="K29" s="269">
        <f>J29/E29*100</f>
        <v>0</v>
      </c>
      <c r="L29" s="264">
        <f>'ΕΙΣΡΟΕΣ-ΕΚΡΟΕΣ(3)'!M35</f>
        <v>1.3979999999999999</v>
      </c>
      <c r="M29" s="536" t="str">
        <f>'ΕΙΣΡΟΕΣ-ΕΚΡΟΕΣ(3)'!N35</f>
        <v>17/1</v>
      </c>
      <c r="O29" s="171"/>
    </row>
    <row r="30" spans="2:48" ht="23.25" customHeight="1" thickBot="1" x14ac:dyDescent="0.35">
      <c r="B30" s="856" t="s">
        <v>64</v>
      </c>
      <c r="C30" s="857"/>
      <c r="D30" s="858"/>
      <c r="E30" s="275">
        <f>SUM(E27:E29)</f>
        <v>71.723000000000013</v>
      </c>
      <c r="F30" s="362">
        <f>SUM(F27:F29)</f>
        <v>0.08</v>
      </c>
      <c r="G30" s="285">
        <f>SUM(G27:G29)</f>
        <v>27.176000000000002</v>
      </c>
      <c r="H30" s="279">
        <f>SUM(H27:H29)</f>
        <v>30.706</v>
      </c>
      <c r="I30" s="270">
        <f>H30/E30*100</f>
        <v>42.811929227723319</v>
      </c>
      <c r="J30" s="327">
        <f>SUM(J27:J29)</f>
        <v>16.835000000000001</v>
      </c>
      <c r="K30" s="270">
        <f>J30/E30*100</f>
        <v>23.472247396232724</v>
      </c>
      <c r="L30" s="482">
        <f>'ΕΙΣΡΟΕΣ-ΕΚΡΟΕΣ(3)'!M36</f>
        <v>21.739000000000001</v>
      </c>
      <c r="M30" s="537" t="str">
        <f>'ΕΙΣΡΟΕΣ-ΕΚΡΟΕΣ(3)'!N36</f>
        <v>3/1</v>
      </c>
      <c r="O30" s="171"/>
    </row>
    <row r="31" spans="2:48" ht="25.5" customHeight="1" x14ac:dyDescent="0.3">
      <c r="B31" s="864" t="s">
        <v>163</v>
      </c>
      <c r="C31" s="865"/>
      <c r="D31" s="866"/>
      <c r="E31" s="140"/>
      <c r="F31" s="360"/>
      <c r="G31" s="283"/>
      <c r="H31" s="141"/>
      <c r="I31" s="331"/>
      <c r="J31" s="325"/>
      <c r="K31" s="269"/>
      <c r="L31" s="264"/>
      <c r="M31" s="145"/>
      <c r="N31" s="127"/>
      <c r="O31" s="171"/>
      <c r="P31" s="102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</row>
    <row r="32" spans="2:48" ht="33" customHeight="1" x14ac:dyDescent="0.35">
      <c r="B32" s="859" t="s">
        <v>91</v>
      </c>
      <c r="C32" s="851"/>
      <c r="D32" s="852"/>
      <c r="E32" s="140">
        <v>24</v>
      </c>
      <c r="F32" s="360">
        <f>'DAILY-ELEV-STR(1)'!F44</f>
        <v>4.1000000000000002E-2</v>
      </c>
      <c r="G32" s="283">
        <f>'DAILY-ELEV-STR(1)'!F46</f>
        <v>8.7920000000000016</v>
      </c>
      <c r="H32" s="141">
        <f>'DAILY-ELEV-STR(1)'!F61</f>
        <v>10.887</v>
      </c>
      <c r="I32" s="331">
        <f>H32/E32*100</f>
        <v>45.362499999999997</v>
      </c>
      <c r="J32" s="325">
        <f>'ΚΑΤΑΧΩΡΗΣΗ-ΕΛΕΓΧΟΣ(2)'!L24</f>
        <v>5.7290000000000001</v>
      </c>
      <c r="K32" s="269">
        <f>J32/E32*100</f>
        <v>23.870833333333334</v>
      </c>
      <c r="L32" s="264">
        <f>'ΕΙΣΡΟΕΣ-ΕΚΡΟΕΣ(3)'!M38</f>
        <v>6.2009999999999996</v>
      </c>
      <c r="M32" s="534" t="str">
        <f>'ΕΙΣΡΟΕΣ-ΕΚΡΟΕΣ(3)'!N38</f>
        <v>7/3</v>
      </c>
      <c r="N32" s="127"/>
      <c r="O32" s="171"/>
      <c r="P32" s="102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</row>
    <row r="33" spans="2:38" ht="33" customHeight="1" x14ac:dyDescent="0.35">
      <c r="B33" s="859" t="s">
        <v>100</v>
      </c>
      <c r="C33" s="851"/>
      <c r="D33" s="852"/>
      <c r="E33" s="146">
        <v>0.99</v>
      </c>
      <c r="F33" s="360">
        <f>'DAILY-ELEV-STR(1)'!R44</f>
        <v>0</v>
      </c>
      <c r="G33" s="283">
        <f>'DAILY-ELEV-STR(1)'!R46</f>
        <v>1.0010000000000001</v>
      </c>
      <c r="H33" s="141">
        <f>'DAILY-ELEV-STR(1)'!R61</f>
        <v>0.99</v>
      </c>
      <c r="I33" s="331">
        <f>H33/E33*100</f>
        <v>100</v>
      </c>
      <c r="J33" s="325">
        <f>'ΚΑΤΑΧΩΡΗΣΗ-ΕΛΕΓΧΟΣ(2)'!L35</f>
        <v>0.38500000000000001</v>
      </c>
      <c r="K33" s="269">
        <f>J33/E33*100</f>
        <v>38.888888888888893</v>
      </c>
      <c r="L33" s="264">
        <f>'ΕΙΣΡΟΕΣ-ΕΚΡΟΕΣ(3)'!M39</f>
        <v>0.39100000000000001</v>
      </c>
      <c r="M33" s="534" t="str">
        <f>'ΕΙΣΡΟΕΣ-ΕΚΡΟΕΣ(3)'!N39</f>
        <v>17/4</v>
      </c>
      <c r="O33" s="171"/>
    </row>
    <row r="34" spans="2:38" ht="33" customHeight="1" x14ac:dyDescent="0.35">
      <c r="B34" s="859" t="s">
        <v>80</v>
      </c>
      <c r="C34" s="851"/>
      <c r="D34" s="852"/>
      <c r="E34" s="146">
        <v>0.86</v>
      </c>
      <c r="F34" s="360">
        <f>'DAILY-ELEV-STR(1)'!S44</f>
        <v>0</v>
      </c>
      <c r="G34" s="283">
        <f>'DAILY-ELEV-STR(1)'!S46</f>
        <v>0.78600000000000025</v>
      </c>
      <c r="H34" s="141">
        <f>'DAILY-ELEV-STR(1)'!S61</f>
        <v>0.86</v>
      </c>
      <c r="I34" s="331">
        <f>H34/E34*100</f>
        <v>100</v>
      </c>
      <c r="J34" s="325">
        <f>'ΚΑΤΑΧΩΡΗΣΗ-ΕΛΕΓΧΟΣ(2)'!L36</f>
        <v>0.378</v>
      </c>
      <c r="K34" s="269">
        <f>J34/E34*100</f>
        <v>43.953488372093027</v>
      </c>
      <c r="L34" s="264">
        <f>'ΕΙΣΡΟΕΣ-ΕΚΡΟΕΣ(3)'!M40</f>
        <v>0.378</v>
      </c>
      <c r="M34" s="534" t="str">
        <f>'ΕΙΣΡΟΕΣ-ΕΚΡΟΕΣ(3)'!N40</f>
        <v>30/4</v>
      </c>
      <c r="N34" s="127"/>
      <c r="O34" s="171"/>
      <c r="P34" s="127"/>
      <c r="Q34" s="127"/>
      <c r="R34" s="127"/>
    </row>
    <row r="35" spans="2:38" ht="33" customHeight="1" thickBot="1" x14ac:dyDescent="0.4">
      <c r="B35" s="859" t="s">
        <v>102</v>
      </c>
      <c r="C35" s="851"/>
      <c r="D35" s="852"/>
      <c r="E35" s="147">
        <v>0.29799999999999999</v>
      </c>
      <c r="F35" s="360">
        <f>'DAILY-ELEV-STR(1)'!U44</f>
        <v>0</v>
      </c>
      <c r="G35" s="283">
        <f>'DAILY-ELEV-STR(1)'!U46</f>
        <v>0.24300000000000002</v>
      </c>
      <c r="H35" s="141">
        <f>'DAILY-ELEV-STR(1)'!U61</f>
        <v>0.29799999999999999</v>
      </c>
      <c r="I35" s="331">
        <f>H35/E35*100</f>
        <v>100</v>
      </c>
      <c r="J35" s="325">
        <f>'ΚΑΤΑΧΩΡΗΣΗ-ΕΛΕΓΧΟΣ(2)'!L38</f>
        <v>0.17699999999999999</v>
      </c>
      <c r="K35" s="269">
        <f>J35/E35*100</f>
        <v>59.395973154362416</v>
      </c>
      <c r="L35" s="264">
        <f>'ΕΙΣΡΟΕΣ-ΕΚΡΟΕΣ(3)'!M41</f>
        <v>0.17699999999999999</v>
      </c>
      <c r="M35" s="536" t="str">
        <f>'ΕΙΣΡΟΕΣ-ΕΚΡΟΕΣ(3)'!N41</f>
        <v>30,4</v>
      </c>
      <c r="O35" s="171"/>
      <c r="Q35" s="165"/>
    </row>
    <row r="36" spans="2:38" ht="23.25" customHeight="1" thickBot="1" x14ac:dyDescent="0.35">
      <c r="B36" s="856" t="s">
        <v>64</v>
      </c>
      <c r="C36" s="857"/>
      <c r="D36" s="858"/>
      <c r="E36" s="275">
        <f>SUM(E32:E35)</f>
        <v>26.147999999999996</v>
      </c>
      <c r="F36" s="362">
        <f>SUM(F32:F35)</f>
        <v>4.1000000000000002E-2</v>
      </c>
      <c r="G36" s="285">
        <f>SUM(G32:G35)</f>
        <v>10.822000000000001</v>
      </c>
      <c r="H36" s="279">
        <f>SUM(H32:H35)</f>
        <v>13.035</v>
      </c>
      <c r="I36" s="270">
        <f>H36/E36*100</f>
        <v>49.850849013308867</v>
      </c>
      <c r="J36" s="327">
        <f>SUM(J32:J35)</f>
        <v>6.6689999999999996</v>
      </c>
      <c r="K36" s="270">
        <f>J36/E36*100</f>
        <v>25.504818724185409</v>
      </c>
      <c r="L36" s="482">
        <f>'ΕΙΣΡΟΕΣ-ΕΚΡΟΕΣ(3)'!M42</f>
        <v>7.0609999999999999</v>
      </c>
      <c r="M36" s="537" t="str">
        <f>'ΕΙΣΡΟΕΣ-ΕΚΡΟΕΣ(3)'!N42</f>
        <v>7/3</v>
      </c>
      <c r="O36" s="171"/>
    </row>
    <row r="37" spans="2:38" ht="23.25" customHeight="1" x14ac:dyDescent="0.3">
      <c r="B37" s="864" t="s">
        <v>167</v>
      </c>
      <c r="C37" s="865"/>
      <c r="D37" s="866"/>
      <c r="E37" s="344"/>
      <c r="F37" s="364"/>
      <c r="G37" s="345"/>
      <c r="H37" s="349"/>
      <c r="I37" s="346"/>
      <c r="J37" s="347"/>
      <c r="K37" s="348"/>
      <c r="L37" s="264"/>
      <c r="M37" s="145"/>
    </row>
    <row r="38" spans="2:38" ht="33" customHeight="1" x14ac:dyDescent="0.35">
      <c r="B38" s="873" t="s">
        <v>98</v>
      </c>
      <c r="C38" s="874"/>
      <c r="D38" s="875"/>
      <c r="E38" s="249">
        <v>1.69</v>
      </c>
      <c r="F38" s="359">
        <f>'DAILY-ELEV-STR(1)'!P44</f>
        <v>8.0000000000000002E-3</v>
      </c>
      <c r="G38" s="282">
        <f>'DAILY-ELEV-STR(1)'!P46</f>
        <v>1.6360000000000001</v>
      </c>
      <c r="H38" s="196">
        <f>'DAILY-ELEV-STR(1)'!P61</f>
        <v>1.637</v>
      </c>
      <c r="I38" s="330">
        <f>H38/E38*100</f>
        <v>96.863905325443795</v>
      </c>
      <c r="J38" s="324">
        <f>'ΚΑΤΑΧΩΡΗΣΗ-ΕΛΕΓΧΟΣ(2)'!L33</f>
        <v>4.8000000000000001E-2</v>
      </c>
      <c r="K38" s="268">
        <f>J38/E38*100</f>
        <v>2.8402366863905328</v>
      </c>
      <c r="L38" s="264">
        <f>'ΕΙΣΡΟΕΣ-ΕΚΡΟΕΣ(3)'!M44</f>
        <v>5.0999999999999997E-2</v>
      </c>
      <c r="M38" s="534" t="str">
        <f>'ΕΙΣΡΟΕΣ-ΕΚΡΟΕΣ(3)'!N44</f>
        <v>11/1</v>
      </c>
      <c r="N38" s="127"/>
      <c r="O38" s="171"/>
      <c r="P38" s="127"/>
      <c r="Q38" s="127"/>
      <c r="R38" s="127"/>
    </row>
    <row r="39" spans="2:38" ht="33" customHeight="1" x14ac:dyDescent="0.35">
      <c r="B39" s="859" t="s">
        <v>99</v>
      </c>
      <c r="C39" s="851"/>
      <c r="D39" s="852"/>
      <c r="E39" s="140">
        <v>1.43</v>
      </c>
      <c r="F39" s="360">
        <f>'DAILY-ELEV-STR(1)'!Q44</f>
        <v>2E-3</v>
      </c>
      <c r="G39" s="283">
        <f>'DAILY-ELEV-STR(1)'!Q46</f>
        <v>1.4180000000000001</v>
      </c>
      <c r="H39" s="141">
        <f>'DAILY-ELEV-STR(1)'!Q61</f>
        <v>1.43</v>
      </c>
      <c r="I39" s="331">
        <f>H39/E39*100</f>
        <v>100</v>
      </c>
      <c r="J39" s="325">
        <f>'ΚΑΤΑΧΩΡΗΣΗ-ΕΛΕΓΧΟΣ(2)'!L34</f>
        <v>0.314</v>
      </c>
      <c r="K39" s="269">
        <f>J39/E39*100</f>
        <v>21.95804195804196</v>
      </c>
      <c r="L39" s="264">
        <f>'ΕΙΣΡΟΕΣ-ΕΚΡΟΕΣ(3)'!M45</f>
        <v>0.33500000000000002</v>
      </c>
      <c r="M39" s="534" t="str">
        <f>'ΕΙΣΡΟΕΣ-ΕΚΡΟΕΣ(3)'!N45</f>
        <v>24/3</v>
      </c>
      <c r="N39" s="127"/>
      <c r="O39" s="171"/>
      <c r="P39" s="127"/>
      <c r="Q39" s="459"/>
      <c r="R39" s="127"/>
    </row>
    <row r="40" spans="2:38" ht="33" customHeight="1" thickBot="1" x14ac:dyDescent="0.4">
      <c r="B40" s="859" t="s">
        <v>101</v>
      </c>
      <c r="C40" s="851"/>
      <c r="D40" s="852"/>
      <c r="E40" s="147">
        <v>0.36299999999999999</v>
      </c>
      <c r="F40" s="360">
        <f>'DAILY-ELEV-STR(1)'!T44</f>
        <v>0</v>
      </c>
      <c r="G40" s="283">
        <f>'DAILY-ELEV-STR(1)'!T46</f>
        <v>0.31100000000000005</v>
      </c>
      <c r="H40" s="141">
        <f>'DAILY-ELEV-STR(1)'!T61</f>
        <v>0.36299999999999999</v>
      </c>
      <c r="I40" s="331">
        <f>H40/E40*100</f>
        <v>100</v>
      </c>
      <c r="J40" s="325">
        <f>'ΚΑΤΑΧΩΡΗΣΗ-ΕΛΕΓΧΟΣ(2)'!L37</f>
        <v>0.317</v>
      </c>
      <c r="K40" s="269">
        <f>J40/E40*100</f>
        <v>87.327823691460054</v>
      </c>
      <c r="L40" s="483">
        <f>'ΕΙΣΡΟΕΣ-ΕΚΡΟΕΣ(3)'!M46</f>
        <v>0.32</v>
      </c>
      <c r="M40" s="536" t="str">
        <f>'ΕΙΣΡΟΕΣ-ΕΚΡΟΕΣ(3)'!N46</f>
        <v>18/4</v>
      </c>
    </row>
    <row r="41" spans="2:38" ht="30" customHeight="1" thickBot="1" x14ac:dyDescent="0.35">
      <c r="B41" s="856" t="s">
        <v>64</v>
      </c>
      <c r="C41" s="857"/>
      <c r="D41" s="858"/>
      <c r="E41" s="275">
        <f>SUM(E38:E40)</f>
        <v>3.4830000000000001</v>
      </c>
      <c r="F41" s="362">
        <f>SUM(F38:F40)</f>
        <v>0.01</v>
      </c>
      <c r="G41" s="285">
        <f>SUM(G38:G40)</f>
        <v>3.3650000000000002</v>
      </c>
      <c r="H41" s="279">
        <f>SUM(H38:H40)</f>
        <v>3.43</v>
      </c>
      <c r="I41" s="270">
        <f>H41/E41*100</f>
        <v>98.478323284524834</v>
      </c>
      <c r="J41" s="327">
        <f>SUM(J38:J40)</f>
        <v>0.67900000000000005</v>
      </c>
      <c r="K41" s="270">
        <f>J41/E41*100</f>
        <v>19.49468848693655</v>
      </c>
      <c r="L41" s="484">
        <f>'ΕΙΣΡΟΕΣ-ΕΚΡΟΕΣ(3)'!M47</f>
        <v>0.69599999999999995</v>
      </c>
      <c r="M41" s="537" t="str">
        <f>'ΕΙΣΡΟΕΣ-ΕΚΡΟΕΣ(3)'!N47</f>
        <v>24/3</v>
      </c>
      <c r="O41" s="171"/>
      <c r="P41" s="132"/>
      <c r="Q41" s="132"/>
      <c r="R41" s="217"/>
      <c r="S41" s="217"/>
    </row>
    <row r="42" spans="2:38" ht="10.5" customHeight="1" thickBot="1" x14ac:dyDescent="0.35">
      <c r="B42" s="335"/>
      <c r="C42" s="336"/>
      <c r="D42" s="337"/>
      <c r="E42" s="258"/>
      <c r="F42" s="338"/>
      <c r="G42" s="258"/>
      <c r="H42" s="276"/>
      <c r="I42" s="277"/>
      <c r="J42" s="341"/>
      <c r="K42" s="342"/>
      <c r="L42" s="340"/>
      <c r="M42" s="333"/>
      <c r="O42" s="171"/>
    </row>
    <row r="43" spans="2:38" ht="32.25" customHeight="1" thickTop="1" thickBot="1" x14ac:dyDescent="0.35">
      <c r="B43" s="867" t="s">
        <v>170</v>
      </c>
      <c r="C43" s="868"/>
      <c r="D43" s="869"/>
      <c r="E43" s="259">
        <f>E25+E30+E36+E41</f>
        <v>290.80400000000003</v>
      </c>
      <c r="F43" s="363">
        <f>F25+F30+F36+F41</f>
        <v>0.45600000000000002</v>
      </c>
      <c r="G43" s="287">
        <f>G25+G30+G36+G41</f>
        <v>94.808999999999997</v>
      </c>
      <c r="H43" s="334">
        <f>H25+H30+H36+H41</f>
        <v>111.56500000000001</v>
      </c>
      <c r="I43" s="272">
        <f>H43/E43</f>
        <v>0.38364327863440667</v>
      </c>
      <c r="J43" s="259">
        <f>J25+J30+J36+J41</f>
        <v>68.173000000000002</v>
      </c>
      <c r="K43" s="272">
        <f>J43/E43</f>
        <v>0.2344293751117591</v>
      </c>
      <c r="L43" s="538">
        <f>'ΕΙΣΡΟΕΣ-ΕΚΡΟΕΣ(3)'!M49</f>
        <v>77.382999999999996</v>
      </c>
      <c r="M43" s="260" t="str">
        <f>'ΕΙΣΡΟΕΣ-ΕΚΡΟΕΣ(3)'!N49</f>
        <v>15/1</v>
      </c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</row>
    <row r="44" spans="2:38" ht="26.25" customHeight="1" thickTop="1" x14ac:dyDescent="0.3">
      <c r="B44" s="248" t="str">
        <f>'ΚΑΤΑΧΩΡΗΣΗ-ΕΛΕΓΧΟΣ(2)'!B42</f>
        <v>* Ε.Σ.Ν.Α.(Ενιαίο Σχέδιο Νοτίου Αγωγού - Κούρης,Καλαβασός,Λεύκαρα,Διπόταμος,Γερμασόγεια,Πολεμίδια,Αρμίνου)</v>
      </c>
      <c r="O44" s="171"/>
    </row>
    <row r="45" spans="2:38" ht="26.25" customHeight="1" x14ac:dyDescent="0.35">
      <c r="B45" s="415" t="str">
        <f>'ΕΙΣΡΟΕΣ-ΕΚΡΟΕΣ(3)'!B51</f>
        <v xml:space="preserve">  Μεταφορά νερού από Αρμίνου στο φράγμα Κούρη από  01/10/2025 -</v>
      </c>
      <c r="J45" s="703">
        <f>'ΕΙΣΡΟΕΣ-ΕΚΡΟΕΣ(3)'!I51</f>
        <v>16.55</v>
      </c>
      <c r="K45" s="416" t="str">
        <f>'ΕΙΣΡΟΕΣ-ΕΚΡΟΕΣ(3)'!J51</f>
        <v xml:space="preserve"> Ε.Κ.Μ.</v>
      </c>
      <c r="O45" s="171"/>
    </row>
    <row r="46" spans="2:38" ht="26.25" customHeight="1" x14ac:dyDescent="0.3">
      <c r="B46" s="165" t="s">
        <v>207</v>
      </c>
      <c r="G46" s="436"/>
      <c r="H46" s="248"/>
      <c r="J46" s="165"/>
      <c r="M46" s="532"/>
      <c r="O46" s="171"/>
    </row>
    <row r="47" spans="2:38" ht="19.5" customHeight="1" thickBot="1" x14ac:dyDescent="0.35">
      <c r="B47" s="248"/>
    </row>
    <row r="48" spans="2:38" ht="18.75" x14ac:dyDescent="0.3">
      <c r="B48" s="788" t="s">
        <v>117</v>
      </c>
      <c r="C48" s="789"/>
      <c r="D48" s="789"/>
      <c r="E48" s="789"/>
      <c r="F48" s="789"/>
      <c r="G48" s="789"/>
      <c r="H48" s="789"/>
      <c r="I48" s="789"/>
      <c r="J48" s="789"/>
      <c r="K48" s="789"/>
      <c r="L48" s="789"/>
      <c r="M48" s="790"/>
    </row>
    <row r="49" spans="2:17" ht="20.25" x14ac:dyDescent="0.3">
      <c r="B49" s="162"/>
      <c r="C49" s="163" t="str">
        <f>'ΚΑΤΑΧΩΡΗΣΗ-ΕΛΕΓΧΟΣ(2)'!E49</f>
        <v>15/16</v>
      </c>
      <c r="D49" s="163" t="str">
        <f>'ΚΑΤΑΧΩΡΗΣΗ-ΕΛΕΓΧΟΣ(2)'!F49</f>
        <v>16/17</v>
      </c>
      <c r="E49" s="163" t="str">
        <f>'ΚΑΤΑΧΩΡΗΣΗ-ΕΛΕΓΧΟΣ(2)'!G49</f>
        <v>17/18</v>
      </c>
      <c r="F49" s="163" t="str">
        <f>'ΚΑΤΑΧΩΡΗΣΗ-ΕΛΕΓΧΟΣ(2)'!H49</f>
        <v>18/19</v>
      </c>
      <c r="G49" s="163" t="str">
        <f>'ΚΑΤΑΧΩΡΗΣΗ-ΕΛΕΓΧΟΣ(2)'!I49</f>
        <v>19/20</v>
      </c>
      <c r="H49" s="163" t="str">
        <f>'ΚΑΤΑΧΩΡΗΣΗ-ΕΛΕΓΧΟΣ(2)'!J49</f>
        <v>20/21</v>
      </c>
      <c r="I49" s="163" t="str">
        <f>'ΚΑΤΑΧΩΡΗΣΗ-ΕΛΕΓΧΟΣ(2)'!K49</f>
        <v>21/22</v>
      </c>
      <c r="J49" s="163" t="str">
        <f>'ΚΑΤΑΧΩΡΗΣΗ-ΕΛΕΓΧΟΣ(2)'!L49</f>
        <v>22/23</v>
      </c>
      <c r="K49" s="163" t="str">
        <f>'ΚΑΤΑΧΩΡΗΣΗ-ΕΛΕΓΧΟΣ(2)'!M49</f>
        <v>23/24</v>
      </c>
      <c r="L49" s="163" t="str">
        <f>'ΚΑΤΑΧΩΡΗΣΗ-ΕΛΕΓΧΟΣ(2)'!N49</f>
        <v>24/25</v>
      </c>
      <c r="M49" s="163" t="str">
        <f>'ΚΑΤΑΧΩΡΗΣΗ-ΕΛΕΓΧΟΣ(2)'!O49</f>
        <v>25/26</v>
      </c>
    </row>
    <row r="50" spans="2:17" ht="30" customHeight="1" x14ac:dyDescent="0.35">
      <c r="B50" s="251" t="s">
        <v>105</v>
      </c>
      <c r="C50" s="164">
        <f>'ΚΑΤΑΧΩΡΗΣΗ-ΕΛΕΓΧΟΣ(2)'!E50</f>
        <v>1.024</v>
      </c>
      <c r="D50" s="164">
        <f>'ΚΑΤΑΧΩΡΗΣΗ-ΕΛΕΓΧΟΣ(2)'!F50</f>
        <v>0.247</v>
      </c>
      <c r="E50" s="164">
        <f>'ΚΑΤΑΧΩΡΗΣΗ-ΕΛΕΓΧΟΣ(2)'!G50</f>
        <v>0.14199999999999999</v>
      </c>
      <c r="F50" s="164">
        <f>'ΚΑΤΑΧΩΡΗΣΗ-ΕΛΕΓΧΟΣ(2)'!H50</f>
        <v>0.85799999999999998</v>
      </c>
      <c r="G50" s="164">
        <f>'ΚΑΤΑΧΩΡΗΣΗ-ΕΛΕΓΧΟΣ(2)'!I50</f>
        <v>2.4298378274389072</v>
      </c>
      <c r="H50" s="164">
        <f>'ΚΑΤΑΧΩΡΗΣΗ-ΕΛΕΓΧΟΣ(2)'!J50</f>
        <v>0.16500000000000001</v>
      </c>
      <c r="I50" s="164">
        <f>'ΚΑΤΑΧΩΡΗΣΗ-ΕΛΕΓΧΟΣ(2)'!K50</f>
        <v>8.4000000000000005E-2</v>
      </c>
      <c r="J50" s="164">
        <f>'ΚΑΤΑΧΩΡΗΣΗ-ΕΛΕΓΧΟΣ(2)'!L50</f>
        <v>3.9459999999999997</v>
      </c>
      <c r="K50" s="164">
        <f>'ΚΑΤΑΧΩΡΗΣΗ-ΕΛΕΓΧΟΣ(2)'!M50</f>
        <v>0.58300000000000018</v>
      </c>
      <c r="L50" s="164">
        <f>'ΚΑΤΑΧΩΡΗΣΗ-ΕΛΕΓΧΟΣ(2)'!N50</f>
        <v>0</v>
      </c>
      <c r="M50" s="164">
        <f>'ΚΑΤΑΧΩΡΗΣΗ-ΕΛΕΓΧΟΣ(2)'!O50</f>
        <v>9.5000000000000001E-2</v>
      </c>
    </row>
    <row r="51" spans="2:17" ht="30" customHeight="1" x14ac:dyDescent="0.35">
      <c r="B51" s="252" t="s">
        <v>106</v>
      </c>
      <c r="C51" s="164">
        <f>'ΚΑΤΑΧΩΡΗΣΗ-ΕΛΕΓΧΟΣ(2)'!E51</f>
        <v>0.60799999999999998</v>
      </c>
      <c r="D51" s="164">
        <f>'ΚΑΤΑΧΩΡΗΣΗ-ΕΛΕΓΧΟΣ(2)'!F51</f>
        <v>0.65700000000000003</v>
      </c>
      <c r="E51" s="164">
        <f>'ΚΑΤΑΧΩΡΗΣΗ-ΕΛΕΓΧΟΣ(2)'!G51</f>
        <v>0.61399999999999999</v>
      </c>
      <c r="F51" s="164">
        <f>'ΚΑΤΑΧΩΡΗΣΗ-ΕΛΕΓΧΟΣ(2)'!H51</f>
        <v>0.75700000000000001</v>
      </c>
      <c r="G51" s="164">
        <f>'ΚΑΤΑΧΩΡΗΣΗ-ΕΛΕΓΧΟΣ(2)'!I51</f>
        <v>1.5453236734428304</v>
      </c>
      <c r="H51" s="164">
        <f>'ΚΑΤΑΧΩΡΗΣΗ-ΕΛΕΓΧΟΣ(2)'!J51</f>
        <v>0.94200000000000017</v>
      </c>
      <c r="I51" s="164">
        <f>'ΚΑΤΑΧΩΡΗΣΗ-ΕΛΕΓΧΟΣ(2)'!K51</f>
        <v>0.39700000000000008</v>
      </c>
      <c r="J51" s="164">
        <f>'ΚΑΤΑΧΩΡΗΣΗ-ΕΛΕΓΧΟΣ(2)'!L51</f>
        <v>2.9759999999999995</v>
      </c>
      <c r="K51" s="164">
        <f>'ΚΑΤΑΧΩΡΗΣΗ-ΕΛΕΓΧΟΣ(2)'!M51</f>
        <v>1.5810000000000002</v>
      </c>
      <c r="L51" s="164">
        <f>'ΚΑΤΑΧΩΡΗΣΗ-ΕΛΕΓΧΟΣ(2)'!N51</f>
        <v>3.0839999999999987</v>
      </c>
      <c r="M51" s="164">
        <f>'ΚΑΤΑΧΩΡΗΣΗ-ΕΛΕΓΧΟΣ(2)'!O51</f>
        <v>0.20000000000000004</v>
      </c>
    </row>
    <row r="52" spans="2:17" ht="30" customHeight="1" x14ac:dyDescent="0.35">
      <c r="B52" s="252" t="s">
        <v>107</v>
      </c>
      <c r="C52" s="164">
        <f>'ΚΑΤΑΧΩΡΗΣΗ-ΕΛΕΓΧΟΣ(2)'!E52</f>
        <v>1.248</v>
      </c>
      <c r="D52" s="164">
        <f>'ΚΑΤΑΧΩΡΗΣΗ-ΕΛΕΓΧΟΣ(2)'!F52</f>
        <v>7.4240000000000004</v>
      </c>
      <c r="E52" s="164">
        <f>'ΚΑΤΑΧΩΡΗΣΗ-ΕΛΕΓΧΟΣ(2)'!G52</f>
        <v>0.88100000000000001</v>
      </c>
      <c r="F52" s="164">
        <f>'ΚΑΤΑΧΩΡΗΣΗ-ΕΛΕΓΧΟΣ(2)'!H52</f>
        <v>16.664999999999999</v>
      </c>
      <c r="G52" s="164">
        <f>'ΚΑΤΑΧΩΡΗΣΗ-ΕΛΕΓΧΟΣ(2)'!I52</f>
        <v>30.495000000000001</v>
      </c>
      <c r="H52" s="164">
        <f>'ΚΑΤΑΧΩΡΗΣΗ-ΕΛΕΓΧΟΣ(2)'!J52</f>
        <v>3.1070000000000007</v>
      </c>
      <c r="I52" s="164">
        <f>'ΚΑΤΑΧΩΡΗΣΗ-ΕΛΕΓΧΟΣ(2)'!K52</f>
        <v>11.922999999999998</v>
      </c>
      <c r="J52" s="164">
        <f>'ΚΑΤΑΧΩΡΗΣΗ-ΕΛΕΓΧΟΣ(2)'!L52</f>
        <v>2.9220000000000006</v>
      </c>
      <c r="K52" s="164">
        <f>'ΚΑΤΑΧΩΡΗΣΗ-ΕΛΕΓΧΟΣ(2)'!M52</f>
        <v>2.3400000000000007</v>
      </c>
      <c r="L52" s="164">
        <f>'ΚΑΤΑΧΩΡΗΣΗ-ΕΛΕΓΧΟΣ(2)'!N52</f>
        <v>5.71</v>
      </c>
      <c r="M52" s="164">
        <f>'ΚΑΤΑΧΩΡΗΣΗ-ΕΛΕΓΧΟΣ(2)'!O52</f>
        <v>1.9030000000000002</v>
      </c>
    </row>
    <row r="53" spans="2:17" ht="30" customHeight="1" x14ac:dyDescent="0.35">
      <c r="B53" s="252" t="s">
        <v>108</v>
      </c>
      <c r="C53" s="164">
        <f>'ΚΑΤΑΧΩΡΗΣΗ-ΕΛΕΓΧΟΣ(2)'!E53</f>
        <v>3.6850000000000001</v>
      </c>
      <c r="D53" s="164">
        <f>'ΚΑΤΑΧΩΡΗΣΗ-ΕΛΕΓΧΟΣ(2)'!F53</f>
        <v>21.082999999999998</v>
      </c>
      <c r="E53" s="164">
        <f>'ΚΑΤΑΧΩΡΗΣΗ-ΕΛΕΓΧΟΣ(2)'!G53</f>
        <v>20.661000000000001</v>
      </c>
      <c r="F53" s="164">
        <f>'ΚΑΤΑΧΩΡΗΣΗ-ΕΛΕΓΧΟΣ(2)'!H53</f>
        <v>118.11</v>
      </c>
      <c r="G53" s="164">
        <f>'ΚΑΤΑΧΩΡΗΣΗ-ΕΛΕΓΧΟΣ(2)'!I53</f>
        <v>47.740000000000009</v>
      </c>
      <c r="H53" s="164">
        <f>'ΚΑΤΑΧΩΡΗΣΗ-ΕΛΕΓΧΟΣ(2)'!J53</f>
        <v>12.540000000000001</v>
      </c>
      <c r="I53" s="164">
        <f>'ΚΑΤΑΧΩΡΗΣΗ-ΕΛΕΓΧΟΣ(2)'!K53</f>
        <v>74.614000000000004</v>
      </c>
      <c r="J53" s="164">
        <f>'ΚΑΤΑΧΩΡΗΣΗ-ΕΛΕΓΧΟΣ(2)'!L53</f>
        <v>8.2679999999999989</v>
      </c>
      <c r="K53" s="164">
        <f>'ΚΑΤΑΧΩΡΗΣΗ-ΕΛΕΓΧΟΣ(2)'!M53</f>
        <v>7.3000000000000007</v>
      </c>
      <c r="L53" s="164">
        <f>'ΚΑΤΑΧΩΡΗΣΗ-ΕΛΕΓΧΟΣ(2)'!N53</f>
        <v>4.0620000000000012</v>
      </c>
      <c r="M53" s="164">
        <f>'ΚΑΤΑΧΩΡΗΣΗ-ΕΛΕΓΧΟΣ(2)'!O53</f>
        <v>12.670000000000002</v>
      </c>
    </row>
    <row r="54" spans="2:17" ht="30" customHeight="1" x14ac:dyDescent="0.35">
      <c r="B54" s="252" t="s">
        <v>109</v>
      </c>
      <c r="C54" s="164">
        <f>'ΚΑΤΑΧΩΡΗΣΗ-ΕΛΕΓΧΟΣ(2)'!E54</f>
        <v>2.8239999999999972</v>
      </c>
      <c r="D54" s="164">
        <f>'ΚΑΤΑΧΩΡΗΣΗ-ΕΛΕΓΧΟΣ(2)'!F54</f>
        <v>4.181</v>
      </c>
      <c r="E54" s="164">
        <f>'ΚΑΤΑΧΩΡΗΣΗ-ΕΛΕΓΧΟΣ(2)'!G54</f>
        <v>9.5280000000000005</v>
      </c>
      <c r="F54" s="164">
        <f>'ΚΑΤΑΧΩΡΗΣΗ-ΕΛΕΓΧΟΣ(2)'!H54</f>
        <v>53.908999999999999</v>
      </c>
      <c r="G54" s="164">
        <f>'ΚΑΤΑΧΩΡΗΣΗ-ΕΛΕΓΧΟΣ(2)'!I54</f>
        <v>15.916000000000002</v>
      </c>
      <c r="H54" s="164">
        <f>'ΚΑΤΑΧΩΡΗΣΗ-ΕΛΕΓΧΟΣ(2)'!J54</f>
        <v>8.016</v>
      </c>
      <c r="I54" s="164">
        <f>'ΚΑΤΑΧΩΡΗΣΗ-ΕΛΕΓΧΟΣ(2)'!K54</f>
        <v>33.962999999999994</v>
      </c>
      <c r="J54" s="164">
        <f>'ΚΑΤΑΧΩΡΗΣΗ-ΕΛΕΓΧΟΣ(2)'!L54</f>
        <v>12.603</v>
      </c>
      <c r="K54" s="164">
        <f>'ΚΑΤΑΧΩΡΗΣΗ-ΕΛΕΓΧΟΣ(2)'!M54</f>
        <v>6.6760000000000019</v>
      </c>
      <c r="L54" s="164">
        <f>'ΚΑΤΑΧΩΡΗΣΗ-ΕΛΕΓΧΟΣ(2)'!N54</f>
        <v>2.4510000000000005</v>
      </c>
      <c r="M54" s="164">
        <f>'ΚΑΤΑΧΩΡΗΣΗ-ΕΛΕΓΧΟΣ(2)'!O54</f>
        <v>24.201000000000004</v>
      </c>
    </row>
    <row r="55" spans="2:17" ht="30" customHeight="1" x14ac:dyDescent="0.35">
      <c r="B55" s="252" t="s">
        <v>110</v>
      </c>
      <c r="C55" s="164">
        <f>'ΚΑΤΑΧΩΡΗΣΗ-ΕΛΕΓΧΟΣ(2)'!E55</f>
        <v>6.1319999999999997</v>
      </c>
      <c r="D55" s="164">
        <f>'ΚΑΤΑΧΩΡΗΣΗ-ΕΛΕΓΧΟΣ(2)'!F55</f>
        <v>8.891</v>
      </c>
      <c r="E55" s="164">
        <f>'ΚΑΤΑΧΩΡΗΣΗ-ΕΛΕΓΧΟΣ(2)'!G55</f>
        <v>5.944</v>
      </c>
      <c r="F55" s="164">
        <f>'ΚΑΤΑΧΩΡΗΣΗ-ΕΛΕΓΧΟΣ(2)'!H55</f>
        <v>32.283000000000001</v>
      </c>
      <c r="G55" s="164">
        <f>'ΚΑΤΑΧΩΡΗΣΗ-ΕΛΕΓΧΟΣ(2)'!I55</f>
        <v>15.670000000000002</v>
      </c>
      <c r="H55" s="164">
        <f>'ΚΑΤΑΧΩΡΗΣΗ-ΕΛΕΓΧΟΣ(2)'!J55</f>
        <v>6.0219999999999994</v>
      </c>
      <c r="I55" s="164">
        <f>'ΚΑΤΑΧΩΡΗΣΗ-ΕΛΕΓΧΟΣ(2)'!K55</f>
        <v>19.801000000000002</v>
      </c>
      <c r="J55" s="164">
        <f>'ΚΑΤΑΧΩΡΗΣΗ-ΕΛΕΓΧΟΣ(2)'!L55</f>
        <v>9.5170000000000012</v>
      </c>
      <c r="K55" s="164">
        <f>'ΚΑΤΑΧΩΡΗΣΗ-ΕΛΕΓΧΟΣ(2)'!M55</f>
        <v>2.9200000000000004</v>
      </c>
      <c r="L55" s="164">
        <f>'ΚΑΤΑΧΩΡΗΣΗ-ΕΛΕΓΧΟΣ(2)'!N55</f>
        <v>1.4649999999999996</v>
      </c>
      <c r="M55" s="164">
        <f>'ΚΑΤΑΧΩΡΗΣΗ-ΕΛΕΓΧΟΣ(2)'!O55</f>
        <v>35.414000000000001</v>
      </c>
    </row>
    <row r="56" spans="2:17" ht="30" customHeight="1" x14ac:dyDescent="0.35">
      <c r="B56" s="252" t="s">
        <v>115</v>
      </c>
      <c r="C56" s="164">
        <f>'ΚΑΤΑΧΩΡΗΣΗ-ΕΛΕΓΧΟΣ(2)'!E56</f>
        <v>1.3140000000000001</v>
      </c>
      <c r="D56" s="164">
        <f>'ΚΑΤΑΧΩΡΗΣΗ-ΕΛΕΓΧΟΣ(2)'!F56</f>
        <v>4.3979999999999997</v>
      </c>
      <c r="E56" s="164">
        <f>'ΚΑΤΑΧΩΡΗΣΗ-ΕΛΕΓΧΟΣ(2)'!G56</f>
        <v>2.1760000000000002</v>
      </c>
      <c r="F56" s="164">
        <f>'ΚΑΤΑΧΩΡΗΣΗ-ΕΛΕΓΧΟΣ(2)'!H56</f>
        <v>25.326000000000001</v>
      </c>
      <c r="G56" s="164">
        <f>'ΚΑΤΑΧΩΡΗΣΗ-ΕΛΕΓΧΟΣ(2)'!I56</f>
        <v>11.062000000000003</v>
      </c>
      <c r="H56" s="164">
        <f>'ΚΑΤΑΧΩΡΗΣΗ-ΕΛΕΓΧΟΣ(2)'!J56</f>
        <v>4.1559999999999988</v>
      </c>
      <c r="I56" s="164">
        <f>'ΚΑΤΑΧΩΡΗΣΗ-ΕΛΕΓΧΟΣ(2)'!K56</f>
        <v>8.1390000000000029</v>
      </c>
      <c r="J56" s="164">
        <f>'ΚΑΤΑΧΩΡΗΣΗ-ΕΛΕΓΧΟΣ(2)'!L56</f>
        <v>4.7410000000000005</v>
      </c>
      <c r="K56" s="164">
        <f>'ΚΑΤΑΧΩΡΗΣΗ-ΕΛΕΓΧΟΣ(2)'!M56</f>
        <v>1.8010000000000004</v>
      </c>
      <c r="L56" s="164">
        <f>'ΚΑΤΑΧΩΡΗΣΗ-ΕΛΕΓΧΟΣ(2)'!N56</f>
        <v>1.0959999999999999</v>
      </c>
      <c r="M56" s="164">
        <f>'ΚΑΤΑΧΩΡΗΣΗ-ΕΛΕΓΧΟΣ(2)'!O56</f>
        <v>20.325999999999997</v>
      </c>
    </row>
    <row r="57" spans="2:17" ht="30" customHeight="1" x14ac:dyDescent="0.35">
      <c r="B57" s="252" t="s">
        <v>111</v>
      </c>
      <c r="C57" s="164">
        <f>'ΚΑΤΑΧΩΡΗΣΗ-ΕΛΕΓΧΟΣ(2)'!E57</f>
        <v>0.96099999999999997</v>
      </c>
      <c r="D57" s="164">
        <f>'ΚΑΤΑΧΩΡΗΣΗ-ΕΛΕΓΧΟΣ(2)'!F57</f>
        <v>1.78</v>
      </c>
      <c r="E57" s="164">
        <f>'ΚΑΤΑΧΩΡΗΣΗ-ΕΛΕΓΧΟΣ(2)'!G57</f>
        <v>2.802</v>
      </c>
      <c r="F57" s="164">
        <f>'ΚΑΤΑΧΩΡΗΣΗ-ΕΛΕΓΧΟΣ(2)'!H57</f>
        <v>8.868999999999998</v>
      </c>
      <c r="G57" s="164">
        <f>'ΚΑΤΑΧΩΡΗΣΗ-ΕΛΕΓΧΟΣ(2)'!I57</f>
        <v>7.3170000000000002</v>
      </c>
      <c r="H57" s="164">
        <f>'ΚΑΤΑΧΩΡΗΣΗ-ΕΛΕΓΧΟΣ(2)'!J57</f>
        <v>0.89900000000000024</v>
      </c>
      <c r="I57" s="164">
        <f>'ΚΑΤΑΧΩΡΗΣΗ-ΕΛΕΓΧΟΣ(2)'!K57</f>
        <v>3.4400000000000004</v>
      </c>
      <c r="J57" s="164">
        <f>'ΚΑΤΑΧΩΡΗΣΗ-ΕΛΕΓΧΟΣ(2)'!L57</f>
        <v>2.7279999999999998</v>
      </c>
      <c r="K57" s="164">
        <f>'ΚΑΤΑΧΩΡΗΣΗ-ΕΛΕΓΧΟΣ(2)'!M57</f>
        <v>0.91000000000000036</v>
      </c>
      <c r="L57" s="164">
        <f>'ΚΑΤΑΧΩΡΗΣΗ-ΕΛΕΓΧΟΣ(2)'!N57</f>
        <v>0.71600000000000019</v>
      </c>
      <c r="M57" s="164">
        <f>'ΚΑΤΑΧΩΡΗΣΗ-ΕΛΕΓΧΟΣ(2)'!O57</f>
        <v>0</v>
      </c>
    </row>
    <row r="58" spans="2:17" ht="30" customHeight="1" x14ac:dyDescent="0.35">
      <c r="B58" s="253" t="s">
        <v>112</v>
      </c>
      <c r="C58" s="164">
        <f>'ΚΑΤΑΧΩΡΗΣΗ-ΕΛΕΓΧΟΣ(2)'!E58</f>
        <v>0.105</v>
      </c>
      <c r="D58" s="164">
        <f>'ΚΑΤΑΧΩΡΗΣΗ-ΕΛΕΓΧΟΣ(2)'!F58</f>
        <v>0.22800000000000001</v>
      </c>
      <c r="E58" s="164">
        <f>'ΚΑΤΑΧΩΡΗΣΗ-ΕΛΕΓΧΟΣ(2)'!G58</f>
        <v>2.0219999999999998</v>
      </c>
      <c r="F58" s="164">
        <f>'ΚΑΤΑΧΩΡΗΣΗ-ΕΛΕΓΧΟΣ(2)'!H58</f>
        <v>6.1989999999999998</v>
      </c>
      <c r="G58" s="164">
        <f>'ΚΑΤΑΧΩΡΗΣΗ-ΕΛΕΓΧΟΣ(2)'!I58</f>
        <v>2.7469999999999999</v>
      </c>
      <c r="H58" s="164">
        <f>'ΚΑΤΑΧΩΡΗΣΗ-ΕΛΕΓΧΟΣ(2)'!J58</f>
        <v>0.192</v>
      </c>
      <c r="I58" s="164">
        <f>'ΚΑΤΑΧΩΡΗΣΗ-ΕΛΕΓΧΟΣ(2)'!K58</f>
        <v>1.2640000000000002</v>
      </c>
      <c r="J58" s="164">
        <f>'ΚΑΤΑΧΩΡΗΣΗ-ΕΛΕΓΧΟΣ(2)'!L58</f>
        <v>0.89100000000000013</v>
      </c>
      <c r="K58" s="164">
        <f>'ΚΑΤΑΧΩΡΗΣΗ-ΕΛΕΓΧΟΣ(2)'!M58</f>
        <v>0.29700000000000004</v>
      </c>
      <c r="L58" s="164">
        <f>'ΚΑΤΑΧΩΡΗΣΗ-ΕΛΕΓΧΟΣ(2)'!N58</f>
        <v>7.6000000000000012E-2</v>
      </c>
      <c r="M58" s="164">
        <f>'ΚΑΤΑΧΩΡΗΣΗ-ΕΛΕΓΧΟΣ(2)'!O58</f>
        <v>0</v>
      </c>
    </row>
    <row r="59" spans="2:17" ht="30" customHeight="1" x14ac:dyDescent="0.35">
      <c r="B59" s="253" t="s">
        <v>113</v>
      </c>
      <c r="C59" s="164">
        <f>'ΚΑΤΑΧΩΡΗΣΗ-ΕΛΕΓΧΟΣ(2)'!E59</f>
        <v>0</v>
      </c>
      <c r="D59" s="164">
        <f>'ΚΑΤΑΧΩΡΗΣΗ-ΕΛΕΓΧΟΣ(2)'!F59</f>
        <v>0</v>
      </c>
      <c r="E59" s="164">
        <f>'ΚΑΤΑΧΩΡΗΣΗ-ΕΛΕΓΧΟΣ(2)'!G59</f>
        <v>0.05</v>
      </c>
      <c r="F59" s="164">
        <f>'ΚΑΤΑΧΩΡΗΣΗ-ΕΛΕΓΧΟΣ(2)'!H59</f>
        <v>1.524</v>
      </c>
      <c r="G59" s="164">
        <f>'ΚΑΤΑΧΩΡΗΣΗ-ΕΛΕΓΧΟΣ(2)'!I59</f>
        <v>0.86600000000000021</v>
      </c>
      <c r="H59" s="164">
        <f>'ΚΑΤΑΧΩΡΗΣΗ-ΕΛΕΓΧΟΣ(2)'!J59</f>
        <v>2.4E-2</v>
      </c>
      <c r="I59" s="164">
        <f>'ΚΑΤΑΧΩΡΗΣΗ-ΕΛΕΓΧΟΣ(2)'!K59</f>
        <v>9.2999999999999999E-2</v>
      </c>
      <c r="J59" s="164">
        <f>'ΚΑΤΑΧΩΡΗΣΗ-ΕΛΕΓΧΟΣ(2)'!L59</f>
        <v>0</v>
      </c>
      <c r="K59" s="164">
        <f>'ΚΑΤΑΧΩΡΗΣΗ-ΕΛΕΓΧΟΣ(2)'!M59</f>
        <v>9.8000000000000004E-2</v>
      </c>
      <c r="L59" s="164">
        <f>'ΚΑΤΑΧΩΡΗΣΗ-ΕΛΕΓΧΟΣ(2)'!N59</f>
        <v>0</v>
      </c>
      <c r="M59" s="164">
        <f>'ΚΑΤΑΧΩΡΗΣΗ-ΕΛΕΓΧΟΣ(2)'!O59</f>
        <v>0</v>
      </c>
    </row>
    <row r="60" spans="2:17" ht="30" customHeight="1" thickBot="1" x14ac:dyDescent="0.4">
      <c r="B60" s="254" t="s">
        <v>120</v>
      </c>
      <c r="C60" s="164">
        <f>'ΚΑΤΑΧΩΡΗΣΗ-ΕΛΕΓΧΟΣ(2)'!E60</f>
        <v>6.0000000000000001E-3</v>
      </c>
      <c r="D60" s="164">
        <f>'ΚΑΤΑΧΩΡΗΣΗ-ΕΛΕΓΧΟΣ(2)'!F60</f>
        <v>0</v>
      </c>
      <c r="E60" s="164">
        <f>'ΚΑΤΑΧΩΡΗΣΗ-ΕΛΕΓΧΟΣ(2)'!G60</f>
        <v>7.6999999999999999E-2</v>
      </c>
      <c r="F60" s="164">
        <f>'ΚΑΤΑΧΩΡΗΣΗ-ΕΛΕΓΧΟΣ(2)'!H60</f>
        <v>0.54209980586723205</v>
      </c>
      <c r="G60" s="164">
        <f>'ΚΑΤΑΧΩΡΗΣΗ-ΕΛΕΓΧΟΣ(2)'!I60</f>
        <v>0.161</v>
      </c>
      <c r="H60" s="164">
        <f>'ΚΑΤΑΧΩΡΗΣΗ-ΕΛΕΓΧΟΣ(2)'!J60</f>
        <v>3.5000000000000003E-2</v>
      </c>
      <c r="I60" s="164">
        <f>'ΚΑΤΑΧΩΡΗΣΗ-ΕΛΕΓΧΟΣ(2)'!K60</f>
        <v>3.4999999999999996E-2</v>
      </c>
      <c r="J60" s="164">
        <f>'ΚΑΤΑΧΩΡΗΣΗ-ΕΛΕΓΧΟΣ(2)'!L60</f>
        <v>0.186</v>
      </c>
      <c r="K60" s="164">
        <f>'ΚΑΤΑΧΩΡΗΣΗ-ΕΛΕΓΧΟΣ(2)'!M60</f>
        <v>0.20799999999999999</v>
      </c>
      <c r="L60" s="164">
        <f>'ΚΑΤΑΧΩΡΗΣΗ-ΕΛΕΓΧΟΣ(2)'!N60</f>
        <v>4.0000000000000001E-3</v>
      </c>
      <c r="M60" s="164">
        <f>'ΚΑΤΑΧΩΡΗΣΗ-ΕΛΕΓΧΟΣ(2)'!O60</f>
        <v>0</v>
      </c>
    </row>
    <row r="61" spans="2:17" ht="30" customHeight="1" thickBot="1" x14ac:dyDescent="0.4">
      <c r="B61" s="255" t="s">
        <v>114</v>
      </c>
      <c r="C61" s="521">
        <f t="shared" ref="C61:J61" si="2">SUM(C50:C60)</f>
        <v>17.906999999999993</v>
      </c>
      <c r="D61" s="521">
        <f t="shared" si="2"/>
        <v>48.889000000000003</v>
      </c>
      <c r="E61" s="521">
        <f t="shared" si="2"/>
        <v>44.896999999999998</v>
      </c>
      <c r="F61" s="521">
        <f t="shared" si="2"/>
        <v>265.04209980586722</v>
      </c>
      <c r="G61" s="521">
        <f t="shared" si="2"/>
        <v>135.94916150088179</v>
      </c>
      <c r="H61" s="521">
        <f t="shared" si="2"/>
        <v>36.097999999999999</v>
      </c>
      <c r="I61" s="521">
        <f t="shared" si="2"/>
        <v>153.75299999999999</v>
      </c>
      <c r="J61" s="498">
        <f t="shared" si="2"/>
        <v>48.777999999999999</v>
      </c>
      <c r="K61" s="235">
        <f>SUM(K50:K60)</f>
        <v>24.714000000000006</v>
      </c>
      <c r="L61" s="213">
        <f>SUM(L50:L60)</f>
        <v>18.664000000000001</v>
      </c>
      <c r="M61" s="213">
        <f>SUM(M50:M60)</f>
        <v>94.808999999999997</v>
      </c>
      <c r="Q61" s="132"/>
    </row>
    <row r="62" spans="2:17" ht="30" customHeight="1" thickBot="1" x14ac:dyDescent="0.35">
      <c r="B62" s="863" t="s">
        <v>184</v>
      </c>
      <c r="C62" s="863"/>
      <c r="D62" s="863"/>
      <c r="E62" s="340"/>
      <c r="F62" s="338"/>
      <c r="G62" s="340"/>
      <c r="H62" s="276"/>
      <c r="I62" s="277"/>
      <c r="J62" s="339"/>
      <c r="K62" s="277"/>
      <c r="L62" s="340"/>
      <c r="M62" s="333"/>
    </row>
    <row r="63" spans="2:17" ht="30" customHeight="1" x14ac:dyDescent="0.35">
      <c r="B63" s="860" t="s">
        <v>159</v>
      </c>
      <c r="C63" s="861"/>
      <c r="D63" s="862"/>
      <c r="E63" s="343">
        <v>2.8</v>
      </c>
      <c r="F63" s="364">
        <f>'DAILY-ELEV-STR(1)'!AY44</f>
        <v>1E-3</v>
      </c>
      <c r="G63" s="345">
        <f>'DAILY-ELEV-STR(1)'!AY46</f>
        <v>2.5890000000000004</v>
      </c>
      <c r="H63" s="349">
        <f>'ΕΙΣΡΟΕΣ-ΕΚΡΟΕΣ(3)'!I68</f>
        <v>2.8</v>
      </c>
      <c r="I63" s="346">
        <f>H63/E63*100</f>
        <v>100</v>
      </c>
      <c r="J63" s="347">
        <f>'ΕΙΣΡΟΕΣ-ΕΚΡΟΕΣ(3)'!K68</f>
        <v>1.004</v>
      </c>
      <c r="K63" s="348">
        <f>J63/E63*100</f>
        <v>35.857142857142861</v>
      </c>
      <c r="L63" s="508">
        <f>'ΕΙΣΡΟΕΣ-ΕΚΡΟΕΣ(3)'!M68</f>
        <v>1.069</v>
      </c>
      <c r="M63" s="518" t="str">
        <f>'ΕΙΣΡΟΕΣ-ΕΚΡΟΕΣ(3)'!N68</f>
        <v>13/3</v>
      </c>
      <c r="O63" s="165"/>
    </row>
    <row r="64" spans="2:17" ht="30" customHeight="1" x14ac:dyDescent="0.35">
      <c r="B64" s="850" t="s">
        <v>164</v>
      </c>
      <c r="C64" s="851"/>
      <c r="D64" s="852"/>
      <c r="E64" s="146">
        <v>2</v>
      </c>
      <c r="F64" s="360">
        <f>'DAILY-ELEV-STR(1)'!BA44</f>
        <v>1E-3</v>
      </c>
      <c r="G64" s="283">
        <f>'DAILY-ELEV-STR(1)'!BA46</f>
        <v>1.0680000000000001</v>
      </c>
      <c r="H64" s="141">
        <f>'ΕΙΣΡΟΕΣ-ΕΚΡΟΕΣ(3)'!I69</f>
        <v>2</v>
      </c>
      <c r="I64" s="331">
        <f>H64/E64*100</f>
        <v>100</v>
      </c>
      <c r="J64" s="325">
        <f>'ΕΙΣΡΟΕΣ-ΕΚΡΟΕΣ(3)'!K69</f>
        <v>1.4610000000000001</v>
      </c>
      <c r="K64" s="269">
        <f>J64/E64*100</f>
        <v>73.05</v>
      </c>
      <c r="L64" s="509">
        <f>'ΕΙΣΡΟΕΣ-ΕΚΡΟΕΣ(3)'!M69</f>
        <v>1.4730000000000001</v>
      </c>
      <c r="M64" s="519" t="str">
        <f>'ΕΙΣΡΟΕΣ-ΕΚΡΟΕΣ(3)'!N69</f>
        <v>27/3</v>
      </c>
      <c r="O64" s="165"/>
    </row>
    <row r="65" spans="2:15" ht="30" customHeight="1" thickBot="1" x14ac:dyDescent="0.4">
      <c r="B65" s="853" t="s">
        <v>161</v>
      </c>
      <c r="C65" s="854"/>
      <c r="D65" s="855"/>
      <c r="E65" s="350">
        <v>4.4539999999999997</v>
      </c>
      <c r="F65" s="540">
        <f>'DAILY-ELEV-STR(1)'!BC44</f>
        <v>0</v>
      </c>
      <c r="G65" s="494">
        <f>'DAILY-ELEV-STR(1)'!BC46</f>
        <v>2.6360000000000001</v>
      </c>
      <c r="H65" s="351">
        <f>'ΕΙΣΡΟΕΣ-ΕΚΡΟΕΣ(3)'!I70</f>
        <v>4.4541319775000217</v>
      </c>
      <c r="I65" s="352">
        <f>H65/E65*100</f>
        <v>100.00296312303595</v>
      </c>
      <c r="J65" s="353">
        <f>'ΕΙΣΡΟΕΣ-ΕΚΡΟΕΣ(3)'!K70</f>
        <v>2.8969999999999998</v>
      </c>
      <c r="K65" s="354">
        <f>J65/E65*100</f>
        <v>65.042658284687917</v>
      </c>
      <c r="L65" s="510">
        <f>'ΕΙΣΡΟΕΣ-ΕΚΡΟΕΣ(3)'!M70</f>
        <v>3.012</v>
      </c>
      <c r="M65" s="520" t="str">
        <f>'ΕΙΣΡΟΕΣ-ΕΚΡΟΕΣ(3)'!N70</f>
        <v>13/3</v>
      </c>
      <c r="O65" s="165"/>
    </row>
    <row r="66" spans="2:15" ht="19.5" customHeight="1" x14ac:dyDescent="0.3">
      <c r="B66" s="256" t="s">
        <v>125</v>
      </c>
      <c r="K66" s="165"/>
      <c r="L66" s="165"/>
    </row>
    <row r="67" spans="2:15" ht="32.25" customHeight="1" x14ac:dyDescent="0.3">
      <c r="B67" s="165"/>
    </row>
    <row r="68" spans="2:15" s="127" customFormat="1" ht="32.25" customHeight="1" x14ac:dyDescent="0.3">
      <c r="B68" s="165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</row>
    <row r="69" spans="2:15" ht="32.25" customHeight="1" x14ac:dyDescent="0.3">
      <c r="B69" s="165"/>
      <c r="K69" s="128"/>
      <c r="L69" s="129"/>
    </row>
    <row r="70" spans="2:15" ht="32.25" customHeight="1" x14ac:dyDescent="0.3">
      <c r="B70" s="165"/>
      <c r="K70" s="128"/>
      <c r="L70" s="129"/>
    </row>
    <row r="71" spans="2:15" ht="32.25" customHeight="1" x14ac:dyDescent="0.3">
      <c r="B71" s="165"/>
      <c r="K71" s="128"/>
      <c r="L71" s="129"/>
    </row>
    <row r="72" spans="2:15" ht="32.25" customHeight="1" x14ac:dyDescent="0.3">
      <c r="B72" s="165"/>
      <c r="K72" s="128"/>
      <c r="L72" s="129"/>
    </row>
    <row r="74" spans="2:15" ht="32.25" customHeight="1" x14ac:dyDescent="0.3">
      <c r="B74" s="165"/>
      <c r="C74" s="127"/>
      <c r="D74" s="127"/>
      <c r="E74" s="133"/>
      <c r="F74" s="134"/>
      <c r="I74" s="102"/>
      <c r="J74" s="129"/>
      <c r="K74" s="128"/>
    </row>
    <row r="75" spans="2:15" ht="32.25" customHeight="1" x14ac:dyDescent="0.3">
      <c r="B75" s="165"/>
    </row>
    <row r="76" spans="2:15" ht="32.25" customHeight="1" x14ac:dyDescent="0.3">
      <c r="B76" s="129"/>
    </row>
    <row r="77" spans="2:15" ht="32.25" customHeight="1" x14ac:dyDescent="0.3">
      <c r="B77" s="165"/>
    </row>
    <row r="78" spans="2:15" ht="32.25" customHeight="1" x14ac:dyDescent="0.3">
      <c r="B78" s="165"/>
    </row>
    <row r="80" spans="2:15" ht="32.25" customHeight="1" x14ac:dyDescent="0.3">
      <c r="B80" s="165"/>
    </row>
    <row r="82" spans="2:2" ht="32.25" customHeight="1" x14ac:dyDescent="0.3">
      <c r="B82" s="165"/>
    </row>
    <row r="83" spans="2:2" ht="32.25" customHeight="1" x14ac:dyDescent="0.3">
      <c r="B83" s="165"/>
    </row>
  </sheetData>
  <mergeCells count="39">
    <mergeCell ref="L10:M10"/>
    <mergeCell ref="B18:D18"/>
    <mergeCell ref="B13:D13"/>
    <mergeCell ref="B16:D16"/>
    <mergeCell ref="B17:D17"/>
    <mergeCell ref="H11:K11"/>
    <mergeCell ref="F12:G12"/>
    <mergeCell ref="H12:I12"/>
    <mergeCell ref="J12:K12"/>
    <mergeCell ref="F11:G11"/>
    <mergeCell ref="B29:D29"/>
    <mergeCell ref="B33:D33"/>
    <mergeCell ref="B38:D38"/>
    <mergeCell ref="B31:D31"/>
    <mergeCell ref="B21:D21"/>
    <mergeCell ref="B22:D22"/>
    <mergeCell ref="B23:D23"/>
    <mergeCell ref="B28:D28"/>
    <mergeCell ref="B36:D36"/>
    <mergeCell ref="B35:D35"/>
    <mergeCell ref="B19:D19"/>
    <mergeCell ref="B20:D20"/>
    <mergeCell ref="B27:D27"/>
    <mergeCell ref="B24:D24"/>
    <mergeCell ref="B25:D25"/>
    <mergeCell ref="B26:D26"/>
    <mergeCell ref="B64:D64"/>
    <mergeCell ref="B65:D65"/>
    <mergeCell ref="B30:D30"/>
    <mergeCell ref="B34:D34"/>
    <mergeCell ref="B63:D63"/>
    <mergeCell ref="B62:D62"/>
    <mergeCell ref="B32:D32"/>
    <mergeCell ref="B48:M48"/>
    <mergeCell ref="B39:D39"/>
    <mergeCell ref="B37:D37"/>
    <mergeCell ref="B41:D41"/>
    <mergeCell ref="B40:D40"/>
    <mergeCell ref="B43:D43"/>
  </mergeCells>
  <phoneticPr fontId="44" type="noConversion"/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1:AV86"/>
  <sheetViews>
    <sheetView showGridLines="0" tabSelected="1" zoomScale="65" zoomScaleNormal="65" workbookViewId="0">
      <selection activeCell="F15" sqref="F15"/>
    </sheetView>
  </sheetViews>
  <sheetFormatPr defaultColWidth="9.28515625" defaultRowHeight="32.25" customHeight="1" x14ac:dyDescent="0.3"/>
  <cols>
    <col min="1" max="1" width="9.28515625" style="100" customWidth="1"/>
    <col min="2" max="2" width="18.85546875" style="100" customWidth="1"/>
    <col min="3" max="3" width="12.5703125" style="100" customWidth="1"/>
    <col min="4" max="4" width="15" style="100" customWidth="1"/>
    <col min="5" max="5" width="15.42578125" style="100" customWidth="1"/>
    <col min="6" max="6" width="15" style="100" customWidth="1"/>
    <col min="7" max="7" width="16.5703125" style="100" customWidth="1"/>
    <col min="8" max="8" width="15.42578125" style="100" customWidth="1"/>
    <col min="9" max="9" width="15" style="100" customWidth="1"/>
    <col min="10" max="10" width="15.28515625" style="100" customWidth="1"/>
    <col min="11" max="11" width="14.7109375" style="100" customWidth="1"/>
    <col min="12" max="12" width="15.42578125" style="100" customWidth="1"/>
    <col min="13" max="13" width="17.42578125" style="100" customWidth="1"/>
    <col min="14" max="14" width="13.42578125" style="100" customWidth="1"/>
    <col min="15" max="15" width="9.42578125" style="100" bestFit="1" customWidth="1"/>
    <col min="16" max="18" width="9.28515625" style="100"/>
    <col min="19" max="19" width="14.140625" style="100" bestFit="1" customWidth="1"/>
    <col min="20" max="16384" width="9.28515625" style="100"/>
  </cols>
  <sheetData>
    <row r="1" spans="2:19" ht="12.75" customHeight="1" x14ac:dyDescent="0.3"/>
    <row r="2" spans="2:19" ht="16.5" x14ac:dyDescent="0.3">
      <c r="B2" s="101"/>
      <c r="C2" s="101"/>
      <c r="D2" s="101"/>
    </row>
    <row r="3" spans="2:19" ht="16.5" x14ac:dyDescent="0.3">
      <c r="B3" s="101"/>
      <c r="C3" s="101"/>
      <c r="D3" s="101"/>
    </row>
    <row r="4" spans="2:19" ht="16.5" x14ac:dyDescent="0.3">
      <c r="B4" s="101"/>
      <c r="C4" s="101"/>
      <c r="D4" s="101"/>
    </row>
    <row r="5" spans="2:19" ht="32.25" customHeight="1" x14ac:dyDescent="0.3">
      <c r="B5" s="101"/>
      <c r="C5" s="101"/>
      <c r="D5" s="101"/>
    </row>
    <row r="6" spans="2:19" ht="16.5" x14ac:dyDescent="0.3">
      <c r="B6" s="101"/>
      <c r="C6" s="101"/>
      <c r="D6" s="101"/>
    </row>
    <row r="7" spans="2:19" ht="16.5" x14ac:dyDescent="0.3">
      <c r="B7" s="101"/>
      <c r="C7" s="101"/>
      <c r="D7" s="101"/>
    </row>
    <row r="8" spans="2:19" ht="16.5" x14ac:dyDescent="0.3">
      <c r="C8" s="105"/>
      <c r="D8" s="105"/>
      <c r="E8" s="104"/>
      <c r="F8" s="104"/>
      <c r="G8" s="104"/>
      <c r="H8" s="106"/>
      <c r="I8" s="106"/>
      <c r="J8" s="106"/>
      <c r="K8" s="104"/>
      <c r="L8" s="104"/>
      <c r="M8" s="104"/>
    </row>
    <row r="9" spans="2:19" ht="20.25" x14ac:dyDescent="0.3">
      <c r="B9" s="909" t="s">
        <v>210</v>
      </c>
      <c r="C9" s="909"/>
      <c r="D9" s="909"/>
      <c r="E9" s="909"/>
      <c r="F9" s="909"/>
      <c r="G9" s="909"/>
      <c r="H9" s="909"/>
      <c r="I9" s="909"/>
      <c r="J9" s="909"/>
      <c r="K9" s="909"/>
      <c r="L9" s="909"/>
      <c r="M9" s="909"/>
    </row>
    <row r="10" spans="2:19" ht="17.25" thickBot="1" x14ac:dyDescent="0.35">
      <c r="C10" s="105"/>
      <c r="D10" s="105"/>
      <c r="E10" s="103"/>
      <c r="F10" s="105"/>
      <c r="G10" s="105"/>
      <c r="H10" s="104"/>
      <c r="I10" s="104"/>
      <c r="J10" s="104"/>
      <c r="L10" s="876">
        <f>'ΚΑΤΑΧΩΡΗΣΗ-ΕΛΕΓΧΟΣ(2)'!O12</f>
        <v>46135</v>
      </c>
      <c r="M10" s="831"/>
      <c r="S10" s="209"/>
    </row>
    <row r="11" spans="2:19" ht="21" thickTop="1" x14ac:dyDescent="0.3">
      <c r="B11" s="597"/>
      <c r="C11" s="598"/>
      <c r="D11" s="598"/>
      <c r="E11" s="599"/>
      <c r="F11" s="910" t="s">
        <v>211</v>
      </c>
      <c r="G11" s="911"/>
      <c r="H11" s="912" t="s">
        <v>212</v>
      </c>
      <c r="I11" s="913"/>
      <c r="J11" s="913"/>
      <c r="K11" s="914"/>
      <c r="L11" s="600" t="s">
        <v>213</v>
      </c>
      <c r="M11" s="601"/>
    </row>
    <row r="12" spans="2:19" ht="20.25" x14ac:dyDescent="0.3">
      <c r="B12" s="602"/>
      <c r="C12" s="603"/>
      <c r="D12" s="603"/>
      <c r="E12" s="604" t="s">
        <v>214</v>
      </c>
      <c r="F12" s="915"/>
      <c r="G12" s="916"/>
      <c r="H12" s="917" t="s">
        <v>215</v>
      </c>
      <c r="I12" s="918"/>
      <c r="J12" s="919" t="s">
        <v>216</v>
      </c>
      <c r="K12" s="920"/>
      <c r="L12" s="605" t="s">
        <v>217</v>
      </c>
      <c r="M12" s="606"/>
    </row>
    <row r="13" spans="2:19" ht="20.25" x14ac:dyDescent="0.3">
      <c r="B13" s="903" t="s">
        <v>218</v>
      </c>
      <c r="C13" s="904"/>
      <c r="D13" s="905"/>
      <c r="E13" s="607"/>
      <c r="F13" s="608" t="s">
        <v>219</v>
      </c>
      <c r="G13" s="609" t="s">
        <v>220</v>
      </c>
      <c r="H13" s="610"/>
      <c r="I13" s="611"/>
      <c r="J13" s="612"/>
      <c r="K13" s="613"/>
      <c r="L13" s="614"/>
      <c r="M13" s="606"/>
    </row>
    <row r="14" spans="2:19" ht="20.25" x14ac:dyDescent="0.3">
      <c r="B14" s="602"/>
      <c r="C14" s="603"/>
      <c r="D14" s="603"/>
      <c r="E14" s="607"/>
      <c r="F14" s="615" t="s">
        <v>298</v>
      </c>
      <c r="G14" s="609" t="s">
        <v>221</v>
      </c>
      <c r="H14" s="616" t="s">
        <v>26</v>
      </c>
      <c r="I14" s="617" t="s">
        <v>57</v>
      </c>
      <c r="J14" s="612" t="s">
        <v>26</v>
      </c>
      <c r="K14" s="618" t="s">
        <v>57</v>
      </c>
      <c r="L14" s="619">
        <f>'ΚΑΤΑΧΩΡΗΣΗ-ΕΛΕΓΧΟΣ(2)'!N17</f>
        <v>2025</v>
      </c>
      <c r="M14" s="620"/>
    </row>
    <row r="15" spans="2:19" ht="21" thickBot="1" x14ac:dyDescent="0.35">
      <c r="B15" s="621"/>
      <c r="C15" s="622"/>
      <c r="D15" s="622"/>
      <c r="E15" s="623" t="s">
        <v>26</v>
      </c>
      <c r="F15" s="624" t="s">
        <v>26</v>
      </c>
      <c r="G15" s="625" t="str">
        <f>'ΚΑΤΑΧΩΡΗΣΗ-ΕΛΕΓΧΟΣ(2)'!I21</f>
        <v>1/10/2025</v>
      </c>
      <c r="H15" s="626"/>
      <c r="I15" s="627"/>
      <c r="J15" s="628"/>
      <c r="K15" s="629"/>
      <c r="L15" s="630" t="s">
        <v>26</v>
      </c>
      <c r="M15" s="631" t="s">
        <v>222</v>
      </c>
      <c r="O15" s="171"/>
    </row>
    <row r="16" spans="2:19" ht="24" customHeight="1" thickTop="1" x14ac:dyDescent="0.3">
      <c r="B16" s="906" t="s">
        <v>223</v>
      </c>
      <c r="C16" s="907"/>
      <c r="D16" s="908"/>
      <c r="E16" s="138"/>
      <c r="F16" s="632"/>
      <c r="G16" s="138"/>
      <c r="H16" s="633"/>
      <c r="I16" s="634"/>
      <c r="J16" s="635"/>
      <c r="K16" s="267"/>
      <c r="L16" s="262"/>
      <c r="M16" s="245"/>
      <c r="O16" s="171"/>
    </row>
    <row r="17" spans="2:48" ht="33" customHeight="1" x14ac:dyDescent="0.35">
      <c r="B17" s="859" t="s">
        <v>224</v>
      </c>
      <c r="C17" s="851"/>
      <c r="D17" s="852"/>
      <c r="E17" s="249">
        <v>115</v>
      </c>
      <c r="F17" s="636">
        <f>'DAILY-ELEV-STR(1)'!D44</f>
        <v>0.12</v>
      </c>
      <c r="G17" s="249">
        <f>'DAILY-ELEV-STR(1)'!D46</f>
        <v>19.484999999999999</v>
      </c>
      <c r="H17" s="396">
        <f>'DAILY-ELEV-STR(1)'!D61</f>
        <v>41.866999999999997</v>
      </c>
      <c r="I17" s="197">
        <f t="shared" ref="I17:I25" si="0">H17/E17*100</f>
        <v>36.40608695652174</v>
      </c>
      <c r="J17" s="637">
        <f>'ΚΑΤΑΧΩΡΗΣΗ-ΕΛΕΓΧΟΣ(2)'!L22</f>
        <v>22.007999999999999</v>
      </c>
      <c r="K17" s="268">
        <f t="shared" ref="K17:K25" si="1">J17/E17*100</f>
        <v>19.137391304347826</v>
      </c>
      <c r="L17" s="263">
        <f>'ΕΙΣΡΟΕΣ-ΕΚΡΟΕΣ(3)'!M23</f>
        <v>25.538</v>
      </c>
      <c r="M17" s="638" t="str">
        <f>'ΕΙΣΡΟΕΣ-ΕΚΡΟΕΣ(3)'!N23</f>
        <v>7/1</v>
      </c>
      <c r="O17" s="171"/>
    </row>
    <row r="18" spans="2:48" ht="33" customHeight="1" x14ac:dyDescent="0.35">
      <c r="B18" s="859" t="s">
        <v>60</v>
      </c>
      <c r="C18" s="851"/>
      <c r="D18" s="852"/>
      <c r="E18" s="140">
        <v>17.100000000000001</v>
      </c>
      <c r="F18" s="639">
        <f>'DAILY-ELEV-STR(1)'!H44</f>
        <v>3.3000000000000002E-2</v>
      </c>
      <c r="G18" s="140">
        <f>'DAILY-ELEV-STR(1)'!H46</f>
        <v>3.319</v>
      </c>
      <c r="H18" s="398">
        <f>'DAILY-ELEV-STR(1)'!H61</f>
        <v>3.5720000000000001</v>
      </c>
      <c r="I18" s="142">
        <f t="shared" si="0"/>
        <v>20.888888888888886</v>
      </c>
      <c r="J18" s="640">
        <f>'ΚΑΤΑΧΩΡΗΣΗ-ΕΛΕΓΧΟΣ(2)'!L26</f>
        <v>4.5069999999999997</v>
      </c>
      <c r="K18" s="269">
        <f t="shared" si="1"/>
        <v>26.35672514619883</v>
      </c>
      <c r="L18" s="264">
        <f>'ΕΙΣΡΟΕΣ-ΕΚΡΟΕΣ(3)'!M24</f>
        <v>4.726</v>
      </c>
      <c r="M18" s="641" t="str">
        <f>'ΕΙΣΡΟΕΣ-ΕΚΡΟΕΣ(3)'!N24</f>
        <v>28/3</v>
      </c>
      <c r="N18" s="127"/>
      <c r="O18" s="171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2:48" ht="33" customHeight="1" x14ac:dyDescent="0.35">
      <c r="B19" s="859" t="s">
        <v>225</v>
      </c>
      <c r="C19" s="851"/>
      <c r="D19" s="852"/>
      <c r="E19" s="140">
        <v>13.85</v>
      </c>
      <c r="F19" s="639">
        <f>'DAILY-ELEV-STR(1)'!I44</f>
        <v>8.9999999999999993E-3</v>
      </c>
      <c r="G19" s="140">
        <f>'DAILY-ELEV-STR(1)'!I46</f>
        <v>1.5150000000000001</v>
      </c>
      <c r="H19" s="398">
        <f>'DAILY-ELEV-STR(1)'!I61</f>
        <v>2.4449999999999998</v>
      </c>
      <c r="I19" s="142">
        <f t="shared" si="0"/>
        <v>17.653429602888085</v>
      </c>
      <c r="J19" s="640">
        <f>'ΚΑΤΑΧΩΡΗΣΗ-ΕΛΕΓΧΟΣ(2)'!L27</f>
        <v>3.2869999999999999</v>
      </c>
      <c r="K19" s="269">
        <f t="shared" si="1"/>
        <v>23.732851985559567</v>
      </c>
      <c r="L19" s="264">
        <f>'ΕΙΣΡΟΕΣ-ΕΚΡΟΕΣ(3)'!M25</f>
        <v>5.6509999999999998</v>
      </c>
      <c r="M19" s="641" t="str">
        <f>'ΕΙΣΡΟΕΣ-ΕΚΡΟΕΣ(3)'!N25</f>
        <v>1/1</v>
      </c>
      <c r="N19" s="127"/>
      <c r="O19" s="171"/>
    </row>
    <row r="20" spans="2:48" ht="33" customHeight="1" x14ac:dyDescent="0.35">
      <c r="B20" s="859" t="s">
        <v>226</v>
      </c>
      <c r="C20" s="851"/>
      <c r="D20" s="852"/>
      <c r="E20" s="140">
        <v>15.5</v>
      </c>
      <c r="F20" s="639">
        <f>'DAILY-ELEV-STR(1)'!J44</f>
        <v>2.1000000000000005E-2</v>
      </c>
      <c r="G20" s="140">
        <f>'DAILY-ELEV-STR(1)'!J46</f>
        <v>3.157</v>
      </c>
      <c r="H20" s="398">
        <f>'DAILY-ELEV-STR(1)'!J61</f>
        <v>5.7640000000000002</v>
      </c>
      <c r="I20" s="142">
        <f t="shared" si="0"/>
        <v>37.187096774193549</v>
      </c>
      <c r="J20" s="640">
        <f>'ΚΑΤΑΧΩΡΗΣΗ-ΕΛΕΓΧΟΣ(2)'!L28</f>
        <v>5.78</v>
      </c>
      <c r="K20" s="269">
        <f t="shared" si="1"/>
        <v>37.29032258064516</v>
      </c>
      <c r="L20" s="264">
        <f>'ΕΙΣΡΟΕΣ-ΕΚΡΟΕΣ(3)'!M26</f>
        <v>5.9939999999999998</v>
      </c>
      <c r="M20" s="641" t="str">
        <f>'ΕΙΣΡΟΕΣ-ΕΚΡΟΕΣ(3)'!N26</f>
        <v>30/5</v>
      </c>
      <c r="O20" s="171"/>
    </row>
    <row r="21" spans="2:48" ht="33" customHeight="1" x14ac:dyDescent="0.35">
      <c r="B21" s="859" t="s">
        <v>227</v>
      </c>
      <c r="C21" s="851"/>
      <c r="D21" s="852"/>
      <c r="E21" s="140">
        <v>13.5</v>
      </c>
      <c r="F21" s="639">
        <f>'DAILY-ELEV-STR(1)'!K44</f>
        <v>3.3000000000000002E-2</v>
      </c>
      <c r="G21" s="140">
        <f>'DAILY-ELEV-STR(1)'!K46</f>
        <v>7.5129999999999999</v>
      </c>
      <c r="H21" s="398">
        <f>'DAILY-ELEV-STR(1)'!K61</f>
        <v>7.1320000000000006</v>
      </c>
      <c r="I21" s="142">
        <f t="shared" si="0"/>
        <v>52.829629629629636</v>
      </c>
      <c r="J21" s="640">
        <f>'ΚΑΤΑΧΩΡΗΣΗ-ΕΛΕΓΧΟΣ(2)'!L29</f>
        <v>3.3809999999999998</v>
      </c>
      <c r="K21" s="269">
        <f t="shared" si="1"/>
        <v>25.044444444444441</v>
      </c>
      <c r="L21" s="264">
        <f>'ΕΙΣΡΟΕΣ-ΕΚΡΟΕΣ(3)'!M27</f>
        <v>3.7949999999999999</v>
      </c>
      <c r="M21" s="642" t="str">
        <f>'ΕΙΣΡΟΕΣ-ΕΚΡΟΕΣ(3)'!N27</f>
        <v>31/1</v>
      </c>
      <c r="O21" s="171"/>
    </row>
    <row r="22" spans="2:48" ht="33" customHeight="1" x14ac:dyDescent="0.35">
      <c r="B22" s="859" t="s">
        <v>228</v>
      </c>
      <c r="C22" s="851"/>
      <c r="D22" s="852"/>
      <c r="E22" s="140">
        <v>4.3</v>
      </c>
      <c r="F22" s="639">
        <f>'DAILY-ELEV-STR(1)'!L44</f>
        <v>0.10400000000000001</v>
      </c>
      <c r="G22" s="140">
        <f>'DAILY-ELEV-STR(1)'!L46</f>
        <v>17.135000000000002</v>
      </c>
      <c r="H22" s="398">
        <f>'DAILY-ELEV-STR(1)'!L61</f>
        <v>1.5169999999999999</v>
      </c>
      <c r="I22" s="142">
        <f t="shared" si="0"/>
        <v>35.279069767441861</v>
      </c>
      <c r="J22" s="643">
        <f>'ΚΑΤΑΧΩΡΗΣΗ-ΕΛΕΓΧΟΣ(2)'!L30</f>
        <v>2.6360000000000001</v>
      </c>
      <c r="K22" s="269">
        <f t="shared" si="1"/>
        <v>61.302325581395358</v>
      </c>
      <c r="L22" s="264">
        <f>'ΕΙΣΡΟΕΣ-ΕΚΡΟΕΣ(3)'!M28</f>
        <v>2.734</v>
      </c>
      <c r="M22" s="641" t="str">
        <f>'ΕΙΣΡΟΕΣ-ΕΚΡΟΕΣ(3)'!N28</f>
        <v>14/5</v>
      </c>
      <c r="O22" s="171"/>
    </row>
    <row r="23" spans="2:48" ht="33" customHeight="1" x14ac:dyDescent="0.35">
      <c r="B23" s="859" t="s">
        <v>229</v>
      </c>
      <c r="C23" s="851"/>
      <c r="D23" s="852"/>
      <c r="E23" s="644">
        <v>3.4</v>
      </c>
      <c r="F23" s="645">
        <f>'DAILY-ELEV-STR(1)'!N44</f>
        <v>5.0000000000000001E-3</v>
      </c>
      <c r="G23" s="644">
        <f>'DAILY-ELEV-STR(1)'!N46</f>
        <v>1.3220000000000003</v>
      </c>
      <c r="H23" s="646">
        <f>'DAILY-ELEV-STR(1)'!N61</f>
        <v>1.9480000000000002</v>
      </c>
      <c r="I23" s="647">
        <f t="shared" si="0"/>
        <v>57.294117647058826</v>
      </c>
      <c r="J23" s="648">
        <f>'ΚΑΤΑΧΩΡΗΣΗ-ΕΛΕΓΧΟΣ(2)'!L31</f>
        <v>1.272</v>
      </c>
      <c r="K23" s="649">
        <f t="shared" si="1"/>
        <v>37.411764705882355</v>
      </c>
      <c r="L23" s="264">
        <f>'ΕΙΣΡΟΕΣ-ΕΚΡΟΕΣ(3)'!M29</f>
        <v>1.393</v>
      </c>
      <c r="M23" s="641" t="str">
        <f>'ΕΙΣΡΟΕΣ-ΕΚΡΟΕΣ(3)'!N29</f>
        <v>21/2</v>
      </c>
      <c r="O23" s="171"/>
    </row>
    <row r="24" spans="2:48" ht="33" customHeight="1" thickBot="1" x14ac:dyDescent="0.4">
      <c r="B24" s="850" t="s">
        <v>230</v>
      </c>
      <c r="C24" s="851"/>
      <c r="D24" s="852"/>
      <c r="E24" s="644">
        <v>6.8</v>
      </c>
      <c r="F24" s="645">
        <f>'DAILY-ELEV-STR(1)'!M44</f>
        <v>0</v>
      </c>
      <c r="G24" s="644">
        <v>0</v>
      </c>
      <c r="H24" s="646">
        <f>'DAILY-ELEV-STR(1)'!M61</f>
        <v>0.14899999999999999</v>
      </c>
      <c r="I24" s="647">
        <f t="shared" si="0"/>
        <v>2.1911764705882355</v>
      </c>
      <c r="J24" s="648">
        <f>'ΚΑΤΑΧΩΡΗΣΗ-ΕΛΕΓΧΟΣ(2)'!L39</f>
        <v>1.119</v>
      </c>
      <c r="K24" s="649">
        <f t="shared" si="1"/>
        <v>16.455882352941174</v>
      </c>
      <c r="L24" s="650">
        <f>'ΕΙΣΡΟΕΣ-ΕΚΡΟΕΣ(3)'!M30</f>
        <v>1.9650000000000001</v>
      </c>
      <c r="M24" s="651" t="str">
        <f>'ΕΙΣΡΟΕΣ-ΕΚΡΟΕΣ(3)'!N30</f>
        <v>5/2</v>
      </c>
      <c r="O24" s="171"/>
    </row>
    <row r="25" spans="2:48" ht="29.25" customHeight="1" thickTop="1" thickBot="1" x14ac:dyDescent="0.35">
      <c r="B25" s="856" t="s">
        <v>21</v>
      </c>
      <c r="C25" s="857"/>
      <c r="D25" s="858"/>
      <c r="E25" s="275">
        <v>189.45000000000002</v>
      </c>
      <c r="F25" s="652">
        <f>SUM(F17:F24)</f>
        <v>0.32500000000000001</v>
      </c>
      <c r="G25" s="653">
        <f>SUM(G17:G24)</f>
        <v>53.445999999999998</v>
      </c>
      <c r="H25" s="654">
        <f>SUM(H17:H24)</f>
        <v>64.394000000000005</v>
      </c>
      <c r="I25" s="655">
        <f t="shared" si="0"/>
        <v>33.989970968593298</v>
      </c>
      <c r="J25" s="656">
        <f>SUM(J17:J24)</f>
        <v>43.99</v>
      </c>
      <c r="K25" s="270">
        <f t="shared" si="1"/>
        <v>23.219846925310105</v>
      </c>
      <c r="L25" s="482">
        <f>'ΕΙΣΡΟΕΣ-ΕΚΡΟΕΣ(3)'!M31</f>
        <v>48.933999999999997</v>
      </c>
      <c r="M25" s="657" t="str">
        <f>'ΕΙΣΡΟΕΣ-ΕΚΡΟΕΣ(3)'!N31</f>
        <v>29/1</v>
      </c>
      <c r="O25" s="171"/>
    </row>
    <row r="26" spans="2:48" ht="19.5" customHeight="1" x14ac:dyDescent="0.3">
      <c r="B26" s="864" t="s">
        <v>166</v>
      </c>
      <c r="C26" s="865"/>
      <c r="D26" s="866"/>
      <c r="E26" s="249"/>
      <c r="F26" s="636"/>
      <c r="G26" s="249"/>
      <c r="H26" s="396"/>
      <c r="I26" s="197"/>
      <c r="J26" s="637"/>
      <c r="K26" s="268"/>
      <c r="L26" s="263"/>
      <c r="M26" s="250"/>
      <c r="O26" s="171"/>
    </row>
    <row r="27" spans="2:48" ht="33" customHeight="1" x14ac:dyDescent="0.35">
      <c r="B27" s="859" t="s">
        <v>231</v>
      </c>
      <c r="C27" s="851"/>
      <c r="D27" s="852"/>
      <c r="E27" s="140">
        <v>52.375</v>
      </c>
      <c r="F27" s="639">
        <f>'DAILY-ELEV-STR(1)'!E44</f>
        <v>5.6000000000000001E-2</v>
      </c>
      <c r="G27" s="140">
        <f>'DAILY-ELEV-STR(1)'!E46</f>
        <v>17.938000000000002</v>
      </c>
      <c r="H27" s="398">
        <f>'DAILY-ELEV-STR(1)'!E61</f>
        <v>20.376999999999999</v>
      </c>
      <c r="I27" s="142">
        <f>H27/E27*100</f>
        <v>38.905966587112168</v>
      </c>
      <c r="J27" s="640">
        <f>'ΚΑΤΑΧΩΡΗΣΗ-ΕΛΕΓΧΟΣ(2)'!L23</f>
        <v>12.513999999999999</v>
      </c>
      <c r="K27" s="269">
        <f>J27/E27*100</f>
        <v>23.89307875894988</v>
      </c>
      <c r="L27" s="264">
        <f>'ΕΙΣΡΟΕΣ-ΕΚΡΟΕΣ(3)'!M33</f>
        <v>15.348000000000001</v>
      </c>
      <c r="M27" s="642" t="str">
        <f>'ΕΙΣΡΟΕΣ-ΕΚΡΟΕΣ(3)'!N33</f>
        <v>3/1</v>
      </c>
      <c r="N27" s="102"/>
      <c r="O27" s="17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</row>
    <row r="28" spans="2:48" ht="33" customHeight="1" x14ac:dyDescent="0.35">
      <c r="B28" s="859" t="s">
        <v>146</v>
      </c>
      <c r="C28" s="851"/>
      <c r="D28" s="852"/>
      <c r="E28" s="140">
        <v>17.167999999999999</v>
      </c>
      <c r="F28" s="639">
        <f>'DAILY-ELEV-STR(1)'!G44</f>
        <v>2.3E-2</v>
      </c>
      <c r="G28" s="140">
        <f>'DAILY-ELEV-STR(1)'!G46</f>
        <v>8.32</v>
      </c>
      <c r="H28" s="398">
        <f>'DAILY-ELEV-STR(1)'!G61</f>
        <v>8.3550000000000004</v>
      </c>
      <c r="I28" s="142">
        <f>H28/E28*100</f>
        <v>48.666123019571302</v>
      </c>
      <c r="J28" s="640">
        <f>'ΚΑΤΑΧΩΡΗΣΗ-ΕΛΕΓΧΟΣ(2)'!L25</f>
        <v>4.3209999999999997</v>
      </c>
      <c r="K28" s="269">
        <f>J28/E28*100</f>
        <v>25.168918918918919</v>
      </c>
      <c r="L28" s="264">
        <f>'ΕΙΣΡΟΕΣ-ΕΚΡΟΕΣ(3)'!M34</f>
        <v>5.2060000000000004</v>
      </c>
      <c r="M28" s="642" t="str">
        <f>'ΕΙΣΡΟΕΣ-ΕΚΡΟΕΣ(3)'!N34</f>
        <v>3/1</v>
      </c>
      <c r="N28" s="127"/>
      <c r="O28" s="171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</row>
    <row r="29" spans="2:48" ht="33" customHeight="1" thickBot="1" x14ac:dyDescent="0.4">
      <c r="B29" s="859" t="s">
        <v>232</v>
      </c>
      <c r="C29" s="851"/>
      <c r="D29" s="852"/>
      <c r="E29" s="140">
        <v>2.1800000000000002</v>
      </c>
      <c r="F29" s="639">
        <f>'DAILY-ELEV-STR(1)'!O44</f>
        <v>1E-3</v>
      </c>
      <c r="G29" s="140">
        <f>'DAILY-ELEV-STR(1)'!O46</f>
        <v>0.91800000000000015</v>
      </c>
      <c r="H29" s="398">
        <f>'DAILY-ELEV-STR(1)'!O61</f>
        <v>1.974</v>
      </c>
      <c r="I29" s="142">
        <f>H29/E29*100</f>
        <v>90.550458715596321</v>
      </c>
      <c r="J29" s="640">
        <f>'ΚΑΤΑΧΩΡΗΣΗ-ΕΛΕΓΧΟΣ(2)'!L32</f>
        <v>0</v>
      </c>
      <c r="K29" s="269">
        <f>J29/E29*100</f>
        <v>0</v>
      </c>
      <c r="L29" s="264">
        <f>'ΕΙΣΡΟΕΣ-ΕΚΡΟΕΣ(3)'!M35</f>
        <v>1.3979999999999999</v>
      </c>
      <c r="M29" s="642" t="str">
        <f>'ΕΙΣΡΟΕΣ-ΕΚΡΟΕΣ(3)'!N35</f>
        <v>17/1</v>
      </c>
      <c r="O29" s="171"/>
    </row>
    <row r="30" spans="2:48" ht="23.25" customHeight="1" thickBot="1" x14ac:dyDescent="0.35">
      <c r="B30" s="856" t="s">
        <v>21</v>
      </c>
      <c r="C30" s="857"/>
      <c r="D30" s="858"/>
      <c r="E30" s="275">
        <v>71.723000000000013</v>
      </c>
      <c r="F30" s="652">
        <f>SUM(F27:F29)</f>
        <v>0.08</v>
      </c>
      <c r="G30" s="275">
        <f>SUM(G27:G29)</f>
        <v>27.176000000000002</v>
      </c>
      <c r="H30" s="654">
        <f>SUM(H27:H29)</f>
        <v>30.706</v>
      </c>
      <c r="I30" s="655">
        <f>H30/E30*100</f>
        <v>42.811929227723319</v>
      </c>
      <c r="J30" s="656">
        <f>SUM(J27:J29)</f>
        <v>16.835000000000001</v>
      </c>
      <c r="K30" s="270">
        <f>J30/E30*100</f>
        <v>23.472247396232724</v>
      </c>
      <c r="L30" s="482">
        <f>'ΕΙΣΡΟΕΣ-ΕΚΡΟΕΣ(3)'!M36</f>
        <v>21.739000000000001</v>
      </c>
      <c r="M30" s="657" t="str">
        <f>'ΕΙΣΡΟΕΣ-ΕΚΡΟΕΣ(3)'!N36</f>
        <v>3/1</v>
      </c>
      <c r="O30" s="171"/>
    </row>
    <row r="31" spans="2:48" ht="25.5" customHeight="1" x14ac:dyDescent="0.3">
      <c r="B31" s="864" t="s">
        <v>233</v>
      </c>
      <c r="C31" s="865"/>
      <c r="D31" s="866"/>
      <c r="E31" s="140"/>
      <c r="F31" s="639"/>
      <c r="G31" s="140"/>
      <c r="H31" s="398"/>
      <c r="I31" s="142"/>
      <c r="J31" s="640"/>
      <c r="K31" s="269"/>
      <c r="L31" s="264"/>
      <c r="M31" s="145"/>
      <c r="N31" s="127"/>
      <c r="O31" s="171"/>
      <c r="P31" s="102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</row>
    <row r="32" spans="2:48" ht="33" customHeight="1" x14ac:dyDescent="0.35">
      <c r="B32" s="859" t="s">
        <v>234</v>
      </c>
      <c r="C32" s="851"/>
      <c r="D32" s="852"/>
      <c r="E32" s="140">
        <v>24</v>
      </c>
      <c r="F32" s="639">
        <f>'DAILY-ELEV-STR(1)'!F44</f>
        <v>4.1000000000000002E-2</v>
      </c>
      <c r="G32" s="140">
        <f>'DAILY-ELEV-STR(1)'!F46</f>
        <v>8.7920000000000016</v>
      </c>
      <c r="H32" s="398">
        <f>'DAILY-ELEV-STR(1)'!F61</f>
        <v>10.887</v>
      </c>
      <c r="I32" s="142">
        <f>H32/E32*100</f>
        <v>45.362499999999997</v>
      </c>
      <c r="J32" s="640">
        <f>'ΚΑΤΑΧΩΡΗΣΗ-ΕΛΕΓΧΟΣ(2)'!L24</f>
        <v>5.7290000000000001</v>
      </c>
      <c r="K32" s="269">
        <f>J32/E32*100</f>
        <v>23.870833333333334</v>
      </c>
      <c r="L32" s="264">
        <f>'ΕΙΣΡΟΕΣ-ΕΚΡΟΕΣ(3)'!M38</f>
        <v>6.2009999999999996</v>
      </c>
      <c r="M32" s="642" t="str">
        <f>'ΕΙΣΡΟΕΣ-ΕΚΡΟΕΣ(3)'!N38</f>
        <v>7/3</v>
      </c>
      <c r="N32" s="127"/>
      <c r="O32" s="171"/>
      <c r="P32" s="102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</row>
    <row r="33" spans="2:38" ht="33" customHeight="1" x14ac:dyDescent="0.35">
      <c r="B33" s="859" t="s">
        <v>235</v>
      </c>
      <c r="C33" s="851"/>
      <c r="D33" s="852"/>
      <c r="E33" s="146">
        <v>0.99</v>
      </c>
      <c r="F33" s="639">
        <f>'DAILY-ELEV-STR(1)'!R44</f>
        <v>0</v>
      </c>
      <c r="G33" s="140">
        <f>'DAILY-ELEV-STR(1)'!R46</f>
        <v>1.0010000000000001</v>
      </c>
      <c r="H33" s="398">
        <f>'DAILY-ELEV-STR(1)'!R61</f>
        <v>0.99</v>
      </c>
      <c r="I33" s="142">
        <f>H33/E33*100</f>
        <v>100</v>
      </c>
      <c r="J33" s="640">
        <f>'ΚΑΤΑΧΩΡΗΣΗ-ΕΛΕΓΧΟΣ(2)'!L35</f>
        <v>0.38500000000000001</v>
      </c>
      <c r="K33" s="269">
        <f>J33/E33*100</f>
        <v>38.888888888888893</v>
      </c>
      <c r="L33" s="264">
        <f>'ΕΙΣΡΟΕΣ-ΕΚΡΟΕΣ(3)'!M39</f>
        <v>0.39100000000000001</v>
      </c>
      <c r="M33" s="642" t="str">
        <f>'ΕΙΣΡΟΕΣ-ΕΚΡΟΕΣ(3)'!N39</f>
        <v>17/4</v>
      </c>
      <c r="O33" s="171"/>
    </row>
    <row r="34" spans="2:38" ht="33" customHeight="1" x14ac:dyDescent="0.35">
      <c r="B34" s="859" t="s">
        <v>236</v>
      </c>
      <c r="C34" s="851"/>
      <c r="D34" s="852"/>
      <c r="E34" s="146">
        <v>0.86</v>
      </c>
      <c r="F34" s="639">
        <f>'DAILY-ELEV-STR(1)'!S44</f>
        <v>0</v>
      </c>
      <c r="G34" s="140">
        <f>'DAILY-ELEV-STR(1)'!S46</f>
        <v>0.78600000000000025</v>
      </c>
      <c r="H34" s="398">
        <f>'DAILY-ELEV-STR(1)'!S61</f>
        <v>0.86</v>
      </c>
      <c r="I34" s="142">
        <f>H34/E34*100</f>
        <v>100</v>
      </c>
      <c r="J34" s="640">
        <f>'ΚΑΤΑΧΩΡΗΣΗ-ΕΛΕΓΧΟΣ(2)'!L36</f>
        <v>0.378</v>
      </c>
      <c r="K34" s="269">
        <f>J34/E34*100</f>
        <v>43.953488372093027</v>
      </c>
      <c r="L34" s="264">
        <f>'ΕΙΣΡΟΕΣ-ΕΚΡΟΕΣ(3)'!M40</f>
        <v>0.378</v>
      </c>
      <c r="M34" s="642" t="str">
        <f>'ΕΙΣΡΟΕΣ-ΕΚΡΟΕΣ(3)'!N40</f>
        <v>30/4</v>
      </c>
      <c r="N34" s="127"/>
      <c r="O34" s="171"/>
      <c r="P34" s="127"/>
      <c r="Q34" s="127"/>
      <c r="R34" s="127"/>
    </row>
    <row r="35" spans="2:38" ht="33" customHeight="1" thickBot="1" x14ac:dyDescent="0.4">
      <c r="B35" s="859" t="s">
        <v>237</v>
      </c>
      <c r="C35" s="851"/>
      <c r="D35" s="852"/>
      <c r="E35" s="147">
        <v>0.29799999999999999</v>
      </c>
      <c r="F35" s="639">
        <f>'DAILY-ELEV-STR(1)'!U44</f>
        <v>0</v>
      </c>
      <c r="G35" s="140">
        <f>'DAILY-ELEV-STR(1)'!U46</f>
        <v>0.24300000000000002</v>
      </c>
      <c r="H35" s="398">
        <f>'DAILY-ELEV-STR(1)'!U61</f>
        <v>0.29799999999999999</v>
      </c>
      <c r="I35" s="142">
        <f>H35/E35*100</f>
        <v>100</v>
      </c>
      <c r="J35" s="640">
        <f>'ΚΑΤΑΧΩΡΗΣΗ-ΕΛΕΓΧΟΣ(2)'!L38</f>
        <v>0.17699999999999999</v>
      </c>
      <c r="K35" s="269">
        <f>J35/E35*100</f>
        <v>59.395973154362416</v>
      </c>
      <c r="L35" s="264">
        <f>'ΕΙΣΡΟΕΣ-ΕΚΡΟΕΣ(3)'!M41</f>
        <v>0.17699999999999999</v>
      </c>
      <c r="M35" s="642" t="str">
        <f>'ΕΙΣΡΟΕΣ-ΕΚΡΟΕΣ(3)'!N41</f>
        <v>30,4</v>
      </c>
      <c r="O35" s="171"/>
    </row>
    <row r="36" spans="2:38" ht="23.25" customHeight="1" thickBot="1" x14ac:dyDescent="0.35">
      <c r="B36" s="856" t="s">
        <v>21</v>
      </c>
      <c r="C36" s="857"/>
      <c r="D36" s="858"/>
      <c r="E36" s="275">
        <v>26.147999999999996</v>
      </c>
      <c r="F36" s="652">
        <f>SUM(F32:F35)</f>
        <v>4.1000000000000002E-2</v>
      </c>
      <c r="G36" s="275">
        <f>SUM(G32:G35)</f>
        <v>10.822000000000001</v>
      </c>
      <c r="H36" s="654">
        <f>SUM(H32:H35)</f>
        <v>13.035</v>
      </c>
      <c r="I36" s="655">
        <f>H36/E36*100</f>
        <v>49.850849013308867</v>
      </c>
      <c r="J36" s="656">
        <f>SUM(J32:J35)</f>
        <v>6.6689999999999996</v>
      </c>
      <c r="K36" s="270">
        <f>J36/E36*100</f>
        <v>25.504818724185409</v>
      </c>
      <c r="L36" s="482">
        <f>'ΕΙΣΡΟΕΣ-ΕΚΡΟΕΣ(3)'!M42</f>
        <v>7.0609999999999999</v>
      </c>
      <c r="M36" s="658" t="str">
        <f>'ΕΙΣΡΟΕΣ-ΕΚΡΟΕΣ(3)'!N42</f>
        <v>7/3</v>
      </c>
      <c r="O36" s="171"/>
    </row>
    <row r="37" spans="2:38" ht="23.25" customHeight="1" x14ac:dyDescent="0.35">
      <c r="B37" s="900" t="s">
        <v>238</v>
      </c>
      <c r="C37" s="901"/>
      <c r="D37" s="902"/>
      <c r="E37" s="659"/>
      <c r="F37" s="660"/>
      <c r="G37" s="661"/>
      <c r="H37" s="662"/>
      <c r="I37" s="663"/>
      <c r="J37" s="664"/>
      <c r="K37" s="271"/>
      <c r="L37" s="529"/>
      <c r="M37" s="665"/>
    </row>
    <row r="38" spans="2:38" ht="33" customHeight="1" x14ac:dyDescent="0.35">
      <c r="B38" s="850" t="s">
        <v>239</v>
      </c>
      <c r="C38" s="851"/>
      <c r="D38" s="852"/>
      <c r="E38" s="140">
        <v>1.69</v>
      </c>
      <c r="F38" s="639">
        <f>'DAILY-ELEV-STR(1)'!P44</f>
        <v>8.0000000000000002E-3</v>
      </c>
      <c r="G38" s="283">
        <f>'DAILY-ELEV-STR(1)'!P46</f>
        <v>1.6360000000000001</v>
      </c>
      <c r="H38" s="398">
        <f>'DAILY-ELEV-STR(1)'!P61</f>
        <v>1.637</v>
      </c>
      <c r="I38" s="142">
        <f>H38/E38*100</f>
        <v>96.863905325443795</v>
      </c>
      <c r="J38" s="640">
        <f>'ΚΑΤΑΧΩΡΗΣΗ-ΕΛΕΓΧΟΣ(2)'!L33</f>
        <v>4.8000000000000001E-2</v>
      </c>
      <c r="K38" s="269">
        <f>J38/E38*100</f>
        <v>2.8402366863905328</v>
      </c>
      <c r="L38" s="264">
        <f>'ΕΙΣΡΟΕΣ-ΕΚΡΟΕΣ(3)'!M44</f>
        <v>5.0999999999999997E-2</v>
      </c>
      <c r="M38" s="642" t="str">
        <f>'ΕΙΣΡΟΕΣ-ΕΚΡΟΕΣ(3)'!N44</f>
        <v>11/1</v>
      </c>
      <c r="O38" s="171"/>
    </row>
    <row r="39" spans="2:38" ht="33" customHeight="1" x14ac:dyDescent="0.35">
      <c r="B39" s="850" t="s">
        <v>240</v>
      </c>
      <c r="C39" s="851"/>
      <c r="D39" s="852"/>
      <c r="E39" s="140">
        <v>1.43</v>
      </c>
      <c r="F39" s="639">
        <f>'DAILY-ELEV-STR(1)'!Q44</f>
        <v>2E-3</v>
      </c>
      <c r="G39" s="283">
        <f>'DAILY-ELEV-STR(1)'!Q46</f>
        <v>1.4180000000000001</v>
      </c>
      <c r="H39" s="398">
        <f>'DAILY-ELEV-STR(1)'!Q61</f>
        <v>1.43</v>
      </c>
      <c r="I39" s="197">
        <f>H39/E39*100</f>
        <v>100</v>
      </c>
      <c r="J39" s="640">
        <f>'ΚΑΤΑΧΩΡΗΣΗ-ΕΛΕΓΧΟΣ(2)'!L34</f>
        <v>0.314</v>
      </c>
      <c r="K39" s="268">
        <f>J39/E39*100</f>
        <v>21.95804195804196</v>
      </c>
      <c r="L39" s="264">
        <f>'ΕΙΣΡΟΕΣ-ΕΚΡΟΕΣ(3)'!M45</f>
        <v>0.33500000000000002</v>
      </c>
      <c r="M39" s="642" t="str">
        <f>'ΕΙΣΡΟΕΣ-ΕΚΡΟΕΣ(3)'!N45</f>
        <v>24/3</v>
      </c>
      <c r="O39" s="171"/>
    </row>
    <row r="40" spans="2:38" ht="33" customHeight="1" thickBot="1" x14ac:dyDescent="0.4">
      <c r="B40" s="891" t="s">
        <v>241</v>
      </c>
      <c r="C40" s="892"/>
      <c r="D40" s="893"/>
      <c r="E40" s="666">
        <v>0.36299999999999999</v>
      </c>
      <c r="F40" s="667">
        <f>'DAILY-ELEV-STR(1)'!T44</f>
        <v>0</v>
      </c>
      <c r="G40" s="494">
        <f>'DAILY-ELEV-STR(1)'!T46</f>
        <v>0.31100000000000005</v>
      </c>
      <c r="H40" s="398">
        <f>'DAILY-ELEV-STR(1)'!T61</f>
        <v>0.36299999999999999</v>
      </c>
      <c r="I40" s="197">
        <f>H40/E40*100</f>
        <v>100</v>
      </c>
      <c r="J40" s="640">
        <f>'ΚΑΤΑΧΩΡΗΣΗ-ΕΛΕΓΧΟΣ(2)'!L37</f>
        <v>0.317</v>
      </c>
      <c r="K40" s="268">
        <f>J40/E40*100</f>
        <v>87.327823691460054</v>
      </c>
      <c r="L40" s="483">
        <f>'ΕΙΣΡΟΕΣ-ΕΚΡΟΕΣ(3)'!M46</f>
        <v>0.32</v>
      </c>
      <c r="M40" s="668" t="str">
        <f>'ΕΙΣΡΟΕΣ-ΕΚΡΟΕΣ(3)'!N46</f>
        <v>18/4</v>
      </c>
      <c r="O40" s="171"/>
      <c r="R40" s="2"/>
    </row>
    <row r="41" spans="2:38" ht="27.75" customHeight="1" thickBot="1" x14ac:dyDescent="0.35">
      <c r="B41" s="856" t="s">
        <v>21</v>
      </c>
      <c r="C41" s="857"/>
      <c r="D41" s="858"/>
      <c r="E41" s="275">
        <v>3.4830000000000001</v>
      </c>
      <c r="F41" s="652">
        <f>SUM(F38:F40)</f>
        <v>0.01</v>
      </c>
      <c r="G41" s="275">
        <f>SUM(G38:G40)</f>
        <v>3.3650000000000002</v>
      </c>
      <c r="H41" s="654">
        <f>SUM(H38:H40)</f>
        <v>3.43</v>
      </c>
      <c r="I41" s="655">
        <f>H41/E41*100</f>
        <v>98.478323284524834</v>
      </c>
      <c r="J41" s="656">
        <f>SUM(J38:J40)</f>
        <v>0.67900000000000005</v>
      </c>
      <c r="K41" s="270">
        <f>J41/E41*100</f>
        <v>19.49468848693655</v>
      </c>
      <c r="L41" s="484">
        <f>'ΕΙΣΡΟΕΣ-ΕΚΡΟΕΣ(3)'!M47</f>
        <v>0.69599999999999995</v>
      </c>
      <c r="M41" s="669" t="str">
        <f>'ΕΙΣΡΟΕΣ-ΕΚΡΟΕΣ(3)'!N47</f>
        <v>24/3</v>
      </c>
      <c r="O41" s="290"/>
      <c r="Q41" s="2"/>
    </row>
    <row r="42" spans="2:38" ht="11.25" customHeight="1" thickBot="1" x14ac:dyDescent="0.35">
      <c r="L42" s="340"/>
      <c r="M42" s="333"/>
    </row>
    <row r="43" spans="2:38" ht="32.25" customHeight="1" thickTop="1" thickBot="1" x14ac:dyDescent="0.35">
      <c r="B43" s="867" t="s">
        <v>242</v>
      </c>
      <c r="C43" s="868"/>
      <c r="D43" s="869"/>
      <c r="E43" s="259">
        <v>290.80400000000003</v>
      </c>
      <c r="F43" s="670">
        <f>F25+F30+F36+F41</f>
        <v>0.45600000000000002</v>
      </c>
      <c r="G43" s="287">
        <f>G25+G30+G36+G41</f>
        <v>94.808999999999997</v>
      </c>
      <c r="H43" s="671">
        <f>H25+H30+H36+H41</f>
        <v>111.56500000000001</v>
      </c>
      <c r="I43" s="672">
        <f>H43/E43*100</f>
        <v>38.364327863440664</v>
      </c>
      <c r="J43" s="671">
        <f>J25+J30+J36+J41</f>
        <v>68.173000000000002</v>
      </c>
      <c r="K43" s="270">
        <f>J43/E43*100</f>
        <v>23.442937511175909</v>
      </c>
      <c r="L43" s="538">
        <f>'ΕΙΣΡΟΕΣ-ΕΚΡΟΕΣ(3)'!M49</f>
        <v>77.382999999999996</v>
      </c>
      <c r="M43" s="260" t="str">
        <f>'ΕΙΣΡΟΕΣ-ΕΚΡΟΕΣ(3)'!N49</f>
        <v>15/1</v>
      </c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</row>
    <row r="44" spans="2:38" ht="30" hidden="1" customHeight="1" thickTop="1" thickBot="1" x14ac:dyDescent="0.35">
      <c r="B44" s="894" t="s">
        <v>243</v>
      </c>
      <c r="C44" s="895"/>
      <c r="D44" s="896"/>
      <c r="E44" s="673">
        <v>71.05</v>
      </c>
      <c r="F44" s="674">
        <v>7.2000000000000008E-2</v>
      </c>
      <c r="G44" s="675">
        <v>6.6659999999999986</v>
      </c>
      <c r="H44" s="150">
        <v>28.376999999999999</v>
      </c>
      <c r="I44" s="676">
        <v>0.39939479239971853</v>
      </c>
      <c r="J44" s="677">
        <v>39.503999999999998</v>
      </c>
      <c r="K44" s="678">
        <v>0.55600281491907111</v>
      </c>
      <c r="L44" s="679">
        <v>42.414999999999992</v>
      </c>
      <c r="M44" s="680"/>
    </row>
    <row r="45" spans="2:38" ht="26.25" customHeight="1" thickTop="1" x14ac:dyDescent="0.35">
      <c r="B45" s="415" t="s">
        <v>293</v>
      </c>
      <c r="C45" s="317"/>
      <c r="D45" s="317"/>
      <c r="E45" s="317"/>
      <c r="F45" s="317"/>
      <c r="G45" s="317"/>
      <c r="J45" s="703">
        <f>'ΙΣΤΟΣΕΛΙΔΑ-GR(4)'!J45</f>
        <v>16.55</v>
      </c>
      <c r="K45" s="416" t="s">
        <v>244</v>
      </c>
      <c r="O45" s="171"/>
    </row>
    <row r="46" spans="2:38" ht="11.25" customHeight="1" x14ac:dyDescent="0.3">
      <c r="B46" s="681"/>
      <c r="C46" s="681"/>
      <c r="D46" s="681"/>
      <c r="E46" s="276"/>
      <c r="F46" s="276"/>
      <c r="G46" s="276"/>
      <c r="H46" s="276"/>
      <c r="I46" s="682"/>
      <c r="J46" s="276"/>
      <c r="K46" s="682"/>
      <c r="L46" s="277"/>
      <c r="M46" s="683"/>
    </row>
    <row r="47" spans="2:38" ht="19.5" customHeight="1" thickBot="1" x14ac:dyDescent="0.35">
      <c r="B47" s="248"/>
    </row>
    <row r="48" spans="2:38" ht="18.75" x14ac:dyDescent="0.3">
      <c r="B48" s="897" t="s">
        <v>245</v>
      </c>
      <c r="C48" s="898"/>
      <c r="D48" s="898"/>
      <c r="E48" s="898"/>
      <c r="F48" s="898"/>
      <c r="G48" s="898"/>
      <c r="H48" s="898"/>
      <c r="I48" s="898"/>
      <c r="J48" s="898"/>
      <c r="K48" s="898"/>
      <c r="L48" s="898"/>
      <c r="M48" s="899"/>
    </row>
    <row r="49" spans="2:14" ht="20.25" x14ac:dyDescent="0.3">
      <c r="B49" s="162"/>
      <c r="C49" s="163" t="str">
        <f>'ΚΑΤΑΧΩΡΗΣΗ-ΕΛΕΓΧΟΣ(2)'!E49</f>
        <v>15/16</v>
      </c>
      <c r="D49" s="163" t="str">
        <f>'ΚΑΤΑΧΩΡΗΣΗ-ΕΛΕΓΧΟΣ(2)'!F49</f>
        <v>16/17</v>
      </c>
      <c r="E49" s="163" t="str">
        <f>'ΚΑΤΑΧΩΡΗΣΗ-ΕΛΕΓΧΟΣ(2)'!G49</f>
        <v>17/18</v>
      </c>
      <c r="F49" s="163" t="str">
        <f>'ΚΑΤΑΧΩΡΗΣΗ-ΕΛΕΓΧΟΣ(2)'!H49</f>
        <v>18/19</v>
      </c>
      <c r="G49" s="163" t="str">
        <f>'ΚΑΤΑΧΩΡΗΣΗ-ΕΛΕΓΧΟΣ(2)'!I49</f>
        <v>19/20</v>
      </c>
      <c r="H49" s="163" t="str">
        <f>'ΚΑΤΑΧΩΡΗΣΗ-ΕΛΕΓΧΟΣ(2)'!J49</f>
        <v>20/21</v>
      </c>
      <c r="I49" s="163" t="str">
        <f>'ΚΑΤΑΧΩΡΗΣΗ-ΕΛΕΓΧΟΣ(2)'!K49</f>
        <v>21/22</v>
      </c>
      <c r="J49" s="163" t="str">
        <f>'ΚΑΤΑΧΩΡΗΣΗ-ΕΛΕΓΧΟΣ(2)'!L49</f>
        <v>22/23</v>
      </c>
      <c r="K49" s="163" t="str">
        <f>'ΚΑΤΑΧΩΡΗΣΗ-ΕΛΕΓΧΟΣ(2)'!M49</f>
        <v>23/24</v>
      </c>
      <c r="L49" s="163" t="str">
        <f>'ΚΑΤΑΧΩΡΗΣΗ-ΕΛΕΓΧΟΣ(2)'!N49</f>
        <v>24/25</v>
      </c>
      <c r="M49" s="163" t="str">
        <f>'ΚΑΤΑΧΩΡΗΣΗ-ΕΛΕΓΧΟΣ(2)'!O49</f>
        <v>25/26</v>
      </c>
    </row>
    <row r="50" spans="2:14" ht="27" customHeight="1" x14ac:dyDescent="0.35">
      <c r="B50" s="684" t="s">
        <v>246</v>
      </c>
      <c r="C50" s="685">
        <f>'ΚΑΤΑΧΩΡΗΣΗ-ΕΛΕΓΧΟΣ(2)'!E50</f>
        <v>1.024</v>
      </c>
      <c r="D50" s="685">
        <f>'ΚΑΤΑΧΩΡΗΣΗ-ΕΛΕΓΧΟΣ(2)'!F50</f>
        <v>0.247</v>
      </c>
      <c r="E50" s="164">
        <f>'ΚΑΤΑΧΩΡΗΣΗ-ΕΛΕΓΧΟΣ(2)'!G50</f>
        <v>0.14199999999999999</v>
      </c>
      <c r="F50" s="164">
        <f>'ΚΑΤΑΧΩΡΗΣΗ-ΕΛΕΓΧΟΣ(2)'!H50</f>
        <v>0.85799999999999998</v>
      </c>
      <c r="G50" s="164">
        <f>'ΚΑΤΑΧΩΡΗΣΗ-ΕΛΕΓΧΟΣ(2)'!I50</f>
        <v>2.4298378274389072</v>
      </c>
      <c r="H50" s="164">
        <f>'ΚΑΤΑΧΩΡΗΣΗ-ΕΛΕΓΧΟΣ(2)'!J50</f>
        <v>0.16500000000000001</v>
      </c>
      <c r="I50" s="164">
        <f>'ΚΑΤΑΧΩΡΗΣΗ-ΕΛΕΓΧΟΣ(2)'!K50</f>
        <v>8.4000000000000005E-2</v>
      </c>
      <c r="J50" s="164">
        <f>'ΚΑΤΑΧΩΡΗΣΗ-ΕΛΕΓΧΟΣ(2)'!L50</f>
        <v>3.9459999999999997</v>
      </c>
      <c r="K50" s="164">
        <f>'ΚΑΤΑΧΩΡΗΣΗ-ΕΛΕΓΧΟΣ(2)'!M50</f>
        <v>0.58300000000000018</v>
      </c>
      <c r="L50" s="164">
        <f>'ΚΑΤΑΧΩΡΗΣΗ-ΕΛΕΓΧΟΣ(2)'!N50</f>
        <v>0</v>
      </c>
      <c r="M50" s="164">
        <f>'ΚΑΤΑΧΩΡΗΣΗ-ΕΛΕΓΧΟΣ(2)'!O50</f>
        <v>9.5000000000000001E-2</v>
      </c>
    </row>
    <row r="51" spans="2:14" ht="27" customHeight="1" x14ac:dyDescent="0.35">
      <c r="B51" s="253" t="s">
        <v>247</v>
      </c>
      <c r="C51" s="685">
        <f>'ΚΑΤΑΧΩΡΗΣΗ-ΕΛΕΓΧΟΣ(2)'!E51</f>
        <v>0.60799999999999998</v>
      </c>
      <c r="D51" s="685">
        <f>'ΚΑΤΑΧΩΡΗΣΗ-ΕΛΕΓΧΟΣ(2)'!F51</f>
        <v>0.65700000000000003</v>
      </c>
      <c r="E51" s="164">
        <f>'ΚΑΤΑΧΩΡΗΣΗ-ΕΛΕΓΧΟΣ(2)'!G51</f>
        <v>0.61399999999999999</v>
      </c>
      <c r="F51" s="164">
        <f>'ΚΑΤΑΧΩΡΗΣΗ-ΕΛΕΓΧΟΣ(2)'!H51</f>
        <v>0.75700000000000001</v>
      </c>
      <c r="G51" s="164">
        <f>'ΚΑΤΑΧΩΡΗΣΗ-ΕΛΕΓΧΟΣ(2)'!I51</f>
        <v>1.5453236734428304</v>
      </c>
      <c r="H51" s="164">
        <f>'ΚΑΤΑΧΩΡΗΣΗ-ΕΛΕΓΧΟΣ(2)'!J51</f>
        <v>0.94200000000000017</v>
      </c>
      <c r="I51" s="164">
        <f>'ΚΑΤΑΧΩΡΗΣΗ-ΕΛΕΓΧΟΣ(2)'!K51</f>
        <v>0.39700000000000008</v>
      </c>
      <c r="J51" s="164">
        <f>'ΚΑΤΑΧΩΡΗΣΗ-ΕΛΕΓΧΟΣ(2)'!L51</f>
        <v>2.9759999999999995</v>
      </c>
      <c r="K51" s="164">
        <f>'ΚΑΤΑΧΩΡΗΣΗ-ΕΛΕΓΧΟΣ(2)'!M51</f>
        <v>1.5810000000000002</v>
      </c>
      <c r="L51" s="164">
        <f>'ΚΑΤΑΧΩΡΗΣΗ-ΕΛΕΓΧΟΣ(2)'!N51</f>
        <v>3.0839999999999987</v>
      </c>
      <c r="M51" s="164">
        <f>'ΚΑΤΑΧΩΡΗΣΗ-ΕΛΕΓΧΟΣ(2)'!O51</f>
        <v>0.20000000000000004</v>
      </c>
    </row>
    <row r="52" spans="2:14" ht="27" customHeight="1" x14ac:dyDescent="0.35">
      <c r="B52" s="253" t="s">
        <v>248</v>
      </c>
      <c r="C52" s="685">
        <f>'ΚΑΤΑΧΩΡΗΣΗ-ΕΛΕΓΧΟΣ(2)'!E52</f>
        <v>1.248</v>
      </c>
      <c r="D52" s="685">
        <f>'ΚΑΤΑΧΩΡΗΣΗ-ΕΛΕΓΧΟΣ(2)'!F52</f>
        <v>7.4240000000000004</v>
      </c>
      <c r="E52" s="164">
        <f>'ΚΑΤΑΧΩΡΗΣΗ-ΕΛΕΓΧΟΣ(2)'!G52</f>
        <v>0.88100000000000001</v>
      </c>
      <c r="F52" s="164">
        <f>'ΚΑΤΑΧΩΡΗΣΗ-ΕΛΕΓΧΟΣ(2)'!H52</f>
        <v>16.664999999999999</v>
      </c>
      <c r="G52" s="164">
        <f>'ΚΑΤΑΧΩΡΗΣΗ-ΕΛΕΓΧΟΣ(2)'!I52</f>
        <v>30.495000000000001</v>
      </c>
      <c r="H52" s="164">
        <f>'ΚΑΤΑΧΩΡΗΣΗ-ΕΛΕΓΧΟΣ(2)'!J52</f>
        <v>3.1070000000000007</v>
      </c>
      <c r="I52" s="164">
        <f>'ΚΑΤΑΧΩΡΗΣΗ-ΕΛΕΓΧΟΣ(2)'!K52</f>
        <v>11.922999999999998</v>
      </c>
      <c r="J52" s="164">
        <f>'ΚΑΤΑΧΩΡΗΣΗ-ΕΛΕΓΧΟΣ(2)'!L52</f>
        <v>2.9220000000000006</v>
      </c>
      <c r="K52" s="164">
        <f>'ΚΑΤΑΧΩΡΗΣΗ-ΕΛΕΓΧΟΣ(2)'!M52</f>
        <v>2.3400000000000007</v>
      </c>
      <c r="L52" s="164">
        <f>'ΚΑΤΑΧΩΡΗΣΗ-ΕΛΕΓΧΟΣ(2)'!N52</f>
        <v>5.71</v>
      </c>
      <c r="M52" s="164">
        <f>'ΚΑΤΑΧΩΡΗΣΗ-ΕΛΕΓΧΟΣ(2)'!O52</f>
        <v>1.9030000000000002</v>
      </c>
    </row>
    <row r="53" spans="2:14" ht="27" customHeight="1" x14ac:dyDescent="0.35">
      <c r="B53" s="253" t="s">
        <v>249</v>
      </c>
      <c r="C53" s="685">
        <f>'ΚΑΤΑΧΩΡΗΣΗ-ΕΛΕΓΧΟΣ(2)'!E53</f>
        <v>3.6850000000000001</v>
      </c>
      <c r="D53" s="685">
        <f>'ΚΑΤΑΧΩΡΗΣΗ-ΕΛΕΓΧΟΣ(2)'!F53</f>
        <v>21.082999999999998</v>
      </c>
      <c r="E53" s="164">
        <f>'ΚΑΤΑΧΩΡΗΣΗ-ΕΛΕΓΧΟΣ(2)'!G53</f>
        <v>20.661000000000001</v>
      </c>
      <c r="F53" s="164">
        <f>'ΚΑΤΑΧΩΡΗΣΗ-ΕΛΕΓΧΟΣ(2)'!H53</f>
        <v>118.11</v>
      </c>
      <c r="G53" s="164">
        <f>'ΚΑΤΑΧΩΡΗΣΗ-ΕΛΕΓΧΟΣ(2)'!I53</f>
        <v>47.740000000000009</v>
      </c>
      <c r="H53" s="164">
        <f>'ΚΑΤΑΧΩΡΗΣΗ-ΕΛΕΓΧΟΣ(2)'!J53</f>
        <v>12.540000000000001</v>
      </c>
      <c r="I53" s="164">
        <f>'ΚΑΤΑΧΩΡΗΣΗ-ΕΛΕΓΧΟΣ(2)'!K53</f>
        <v>74.614000000000004</v>
      </c>
      <c r="J53" s="164">
        <f>'ΚΑΤΑΧΩΡΗΣΗ-ΕΛΕΓΧΟΣ(2)'!L53</f>
        <v>8.2679999999999989</v>
      </c>
      <c r="K53" s="164">
        <f>'ΚΑΤΑΧΩΡΗΣΗ-ΕΛΕΓΧΟΣ(2)'!M53</f>
        <v>7.3000000000000007</v>
      </c>
      <c r="L53" s="164">
        <f>'ΚΑΤΑΧΩΡΗΣΗ-ΕΛΕΓΧΟΣ(2)'!N53</f>
        <v>4.0620000000000012</v>
      </c>
      <c r="M53" s="164">
        <f>'ΚΑΤΑΧΩΡΗΣΗ-ΕΛΕΓΧΟΣ(2)'!O53</f>
        <v>12.670000000000002</v>
      </c>
    </row>
    <row r="54" spans="2:14" ht="27" customHeight="1" x14ac:dyDescent="0.35">
      <c r="B54" s="253" t="s">
        <v>250</v>
      </c>
      <c r="C54" s="685">
        <f>'ΚΑΤΑΧΩΡΗΣΗ-ΕΛΕΓΧΟΣ(2)'!E54</f>
        <v>2.8239999999999972</v>
      </c>
      <c r="D54" s="685">
        <f>'ΚΑΤΑΧΩΡΗΣΗ-ΕΛΕΓΧΟΣ(2)'!F54</f>
        <v>4.181</v>
      </c>
      <c r="E54" s="164">
        <f>'ΚΑΤΑΧΩΡΗΣΗ-ΕΛΕΓΧΟΣ(2)'!G54</f>
        <v>9.5280000000000005</v>
      </c>
      <c r="F54" s="164">
        <f>'ΚΑΤΑΧΩΡΗΣΗ-ΕΛΕΓΧΟΣ(2)'!H54</f>
        <v>53.908999999999999</v>
      </c>
      <c r="G54" s="164">
        <f>'ΚΑΤΑΧΩΡΗΣΗ-ΕΛΕΓΧΟΣ(2)'!I54</f>
        <v>15.916000000000002</v>
      </c>
      <c r="H54" s="164">
        <f>'ΚΑΤΑΧΩΡΗΣΗ-ΕΛΕΓΧΟΣ(2)'!J54</f>
        <v>8.016</v>
      </c>
      <c r="I54" s="164">
        <f>'ΚΑΤΑΧΩΡΗΣΗ-ΕΛΕΓΧΟΣ(2)'!K54</f>
        <v>33.962999999999994</v>
      </c>
      <c r="J54" s="164">
        <f>'ΚΑΤΑΧΩΡΗΣΗ-ΕΛΕΓΧΟΣ(2)'!L54</f>
        <v>12.603</v>
      </c>
      <c r="K54" s="164">
        <f>'ΚΑΤΑΧΩΡΗΣΗ-ΕΛΕΓΧΟΣ(2)'!M54</f>
        <v>6.6760000000000019</v>
      </c>
      <c r="L54" s="164">
        <f>'ΚΑΤΑΧΩΡΗΣΗ-ΕΛΕΓΧΟΣ(2)'!N54</f>
        <v>2.4510000000000005</v>
      </c>
      <c r="M54" s="164">
        <f>'ΚΑΤΑΧΩΡΗΣΗ-ΕΛΕΓΧΟΣ(2)'!O54</f>
        <v>24.201000000000004</v>
      </c>
    </row>
    <row r="55" spans="2:14" ht="27" customHeight="1" x14ac:dyDescent="0.35">
      <c r="B55" s="253" t="s">
        <v>251</v>
      </c>
      <c r="C55" s="685">
        <f>'ΚΑΤΑΧΩΡΗΣΗ-ΕΛΕΓΧΟΣ(2)'!E55</f>
        <v>6.1319999999999997</v>
      </c>
      <c r="D55" s="685">
        <f>'ΚΑΤΑΧΩΡΗΣΗ-ΕΛΕΓΧΟΣ(2)'!F55</f>
        <v>8.891</v>
      </c>
      <c r="E55" s="164">
        <f>'ΚΑΤΑΧΩΡΗΣΗ-ΕΛΕΓΧΟΣ(2)'!G55</f>
        <v>5.944</v>
      </c>
      <c r="F55" s="164">
        <f>'ΚΑΤΑΧΩΡΗΣΗ-ΕΛΕΓΧΟΣ(2)'!H55</f>
        <v>32.283000000000001</v>
      </c>
      <c r="G55" s="164">
        <f>'ΚΑΤΑΧΩΡΗΣΗ-ΕΛΕΓΧΟΣ(2)'!I55</f>
        <v>15.670000000000002</v>
      </c>
      <c r="H55" s="164">
        <f>'ΚΑΤΑΧΩΡΗΣΗ-ΕΛΕΓΧΟΣ(2)'!J55</f>
        <v>6.0219999999999994</v>
      </c>
      <c r="I55" s="164">
        <f>'ΚΑΤΑΧΩΡΗΣΗ-ΕΛΕΓΧΟΣ(2)'!K55</f>
        <v>19.801000000000002</v>
      </c>
      <c r="J55" s="164">
        <f>'ΚΑΤΑΧΩΡΗΣΗ-ΕΛΕΓΧΟΣ(2)'!L55</f>
        <v>9.5170000000000012</v>
      </c>
      <c r="K55" s="164">
        <f>'ΚΑΤΑΧΩΡΗΣΗ-ΕΛΕΓΧΟΣ(2)'!M55</f>
        <v>2.9200000000000004</v>
      </c>
      <c r="L55" s="164">
        <f>'ΚΑΤΑΧΩΡΗΣΗ-ΕΛΕΓΧΟΣ(2)'!N55</f>
        <v>1.4649999999999996</v>
      </c>
      <c r="M55" s="164">
        <f>'ΚΑΤΑΧΩΡΗΣΗ-ΕΛΕΓΧΟΣ(2)'!O55</f>
        <v>35.414000000000001</v>
      </c>
    </row>
    <row r="56" spans="2:14" ht="27" customHeight="1" x14ac:dyDescent="0.35">
      <c r="B56" s="253" t="s">
        <v>252</v>
      </c>
      <c r="C56" s="685">
        <f>'ΚΑΤΑΧΩΡΗΣΗ-ΕΛΕΓΧΟΣ(2)'!E56</f>
        <v>1.3140000000000001</v>
      </c>
      <c r="D56" s="685">
        <f>'ΚΑΤΑΧΩΡΗΣΗ-ΕΛΕΓΧΟΣ(2)'!F56</f>
        <v>4.3979999999999997</v>
      </c>
      <c r="E56" s="164">
        <f>'ΚΑΤΑΧΩΡΗΣΗ-ΕΛΕΓΧΟΣ(2)'!G56</f>
        <v>2.1760000000000002</v>
      </c>
      <c r="F56" s="164">
        <f>'ΚΑΤΑΧΩΡΗΣΗ-ΕΛΕΓΧΟΣ(2)'!H56</f>
        <v>25.326000000000001</v>
      </c>
      <c r="G56" s="164">
        <f>'ΚΑΤΑΧΩΡΗΣΗ-ΕΛΕΓΧΟΣ(2)'!I56</f>
        <v>11.062000000000003</v>
      </c>
      <c r="H56" s="164">
        <f>'ΚΑΤΑΧΩΡΗΣΗ-ΕΛΕΓΧΟΣ(2)'!J56</f>
        <v>4.1559999999999988</v>
      </c>
      <c r="I56" s="164">
        <f>'ΚΑΤΑΧΩΡΗΣΗ-ΕΛΕΓΧΟΣ(2)'!K56</f>
        <v>8.1390000000000029</v>
      </c>
      <c r="J56" s="164">
        <f>'ΚΑΤΑΧΩΡΗΣΗ-ΕΛΕΓΧΟΣ(2)'!L56</f>
        <v>4.7410000000000005</v>
      </c>
      <c r="K56" s="164">
        <f>'ΚΑΤΑΧΩΡΗΣΗ-ΕΛΕΓΧΟΣ(2)'!M56</f>
        <v>1.8010000000000004</v>
      </c>
      <c r="L56" s="164">
        <f>'ΚΑΤΑΧΩΡΗΣΗ-ΕΛΕΓΧΟΣ(2)'!N56</f>
        <v>1.0959999999999999</v>
      </c>
      <c r="M56" s="164">
        <f>'ΚΑΤΑΧΩΡΗΣΗ-ΕΛΕΓΧΟΣ(2)'!O56</f>
        <v>20.325999999999997</v>
      </c>
    </row>
    <row r="57" spans="2:14" ht="27" customHeight="1" x14ac:dyDescent="0.35">
      <c r="B57" s="253" t="s">
        <v>253</v>
      </c>
      <c r="C57" s="685">
        <f>'ΚΑΤΑΧΩΡΗΣΗ-ΕΛΕΓΧΟΣ(2)'!E57</f>
        <v>0.96099999999999997</v>
      </c>
      <c r="D57" s="685">
        <f>'ΚΑΤΑΧΩΡΗΣΗ-ΕΛΕΓΧΟΣ(2)'!F57</f>
        <v>1.78</v>
      </c>
      <c r="E57" s="164">
        <f>'ΚΑΤΑΧΩΡΗΣΗ-ΕΛΕΓΧΟΣ(2)'!G57</f>
        <v>2.802</v>
      </c>
      <c r="F57" s="164">
        <f>'ΚΑΤΑΧΩΡΗΣΗ-ΕΛΕΓΧΟΣ(2)'!H57</f>
        <v>8.868999999999998</v>
      </c>
      <c r="G57" s="164">
        <f>'ΚΑΤΑΧΩΡΗΣΗ-ΕΛΕΓΧΟΣ(2)'!I57</f>
        <v>7.3170000000000002</v>
      </c>
      <c r="H57" s="164">
        <f>'ΚΑΤΑΧΩΡΗΣΗ-ΕΛΕΓΧΟΣ(2)'!J57</f>
        <v>0.89900000000000024</v>
      </c>
      <c r="I57" s="164">
        <f>'ΚΑΤΑΧΩΡΗΣΗ-ΕΛΕΓΧΟΣ(2)'!K57</f>
        <v>3.4400000000000004</v>
      </c>
      <c r="J57" s="164">
        <f>'ΚΑΤΑΧΩΡΗΣΗ-ΕΛΕΓΧΟΣ(2)'!L57</f>
        <v>2.7279999999999998</v>
      </c>
      <c r="K57" s="164">
        <f>'ΚΑΤΑΧΩΡΗΣΗ-ΕΛΕΓΧΟΣ(2)'!M57</f>
        <v>0.91000000000000036</v>
      </c>
      <c r="L57" s="164">
        <f>'ΚΑΤΑΧΩΡΗΣΗ-ΕΛΕΓΧΟΣ(2)'!N57</f>
        <v>0.71600000000000019</v>
      </c>
      <c r="M57" s="164">
        <f>'ΚΑΤΑΧΩΡΗΣΗ-ΕΛΕΓΧΟΣ(2)'!O57</f>
        <v>0</v>
      </c>
    </row>
    <row r="58" spans="2:14" ht="27" customHeight="1" x14ac:dyDescent="0.35">
      <c r="B58" s="253" t="s">
        <v>254</v>
      </c>
      <c r="C58" s="685">
        <f>'ΚΑΤΑΧΩΡΗΣΗ-ΕΛΕΓΧΟΣ(2)'!E58</f>
        <v>0.105</v>
      </c>
      <c r="D58" s="685">
        <f>'ΚΑΤΑΧΩΡΗΣΗ-ΕΛΕΓΧΟΣ(2)'!F58</f>
        <v>0.22800000000000001</v>
      </c>
      <c r="E58" s="164">
        <f>'ΚΑΤΑΧΩΡΗΣΗ-ΕΛΕΓΧΟΣ(2)'!G58</f>
        <v>2.0219999999999998</v>
      </c>
      <c r="F58" s="164">
        <f>'ΚΑΤΑΧΩΡΗΣΗ-ΕΛΕΓΧΟΣ(2)'!H58</f>
        <v>6.1989999999999998</v>
      </c>
      <c r="G58" s="164">
        <f>'ΚΑΤΑΧΩΡΗΣΗ-ΕΛΕΓΧΟΣ(2)'!I58</f>
        <v>2.7469999999999999</v>
      </c>
      <c r="H58" s="164">
        <f>'ΚΑΤΑΧΩΡΗΣΗ-ΕΛΕΓΧΟΣ(2)'!J58</f>
        <v>0.192</v>
      </c>
      <c r="I58" s="164">
        <f>'ΚΑΤΑΧΩΡΗΣΗ-ΕΛΕΓΧΟΣ(2)'!K58</f>
        <v>1.2640000000000002</v>
      </c>
      <c r="J58" s="164">
        <f>'ΚΑΤΑΧΩΡΗΣΗ-ΕΛΕΓΧΟΣ(2)'!L58</f>
        <v>0.89100000000000013</v>
      </c>
      <c r="K58" s="164">
        <f>'ΚΑΤΑΧΩΡΗΣΗ-ΕΛΕΓΧΟΣ(2)'!M58</f>
        <v>0.29700000000000004</v>
      </c>
      <c r="L58" s="164">
        <f>'ΚΑΤΑΧΩΡΗΣΗ-ΕΛΕΓΧΟΣ(2)'!N58</f>
        <v>7.6000000000000012E-2</v>
      </c>
      <c r="M58" s="164">
        <f>'ΚΑΤΑΧΩΡΗΣΗ-ΕΛΕΓΧΟΣ(2)'!O58</f>
        <v>0</v>
      </c>
    </row>
    <row r="59" spans="2:14" ht="27" customHeight="1" x14ac:dyDescent="0.35">
      <c r="B59" s="253" t="s">
        <v>255</v>
      </c>
      <c r="C59" s="685">
        <f>'ΚΑΤΑΧΩΡΗΣΗ-ΕΛΕΓΧΟΣ(2)'!E59</f>
        <v>0</v>
      </c>
      <c r="D59" s="685">
        <f>'ΚΑΤΑΧΩΡΗΣΗ-ΕΛΕΓΧΟΣ(2)'!F59</f>
        <v>0</v>
      </c>
      <c r="E59" s="164">
        <f>'ΚΑΤΑΧΩΡΗΣΗ-ΕΛΕΓΧΟΣ(2)'!G59</f>
        <v>0.05</v>
      </c>
      <c r="F59" s="164">
        <f>'ΚΑΤΑΧΩΡΗΣΗ-ΕΛΕΓΧΟΣ(2)'!H59</f>
        <v>1.524</v>
      </c>
      <c r="G59" s="164">
        <f>'ΚΑΤΑΧΩΡΗΣΗ-ΕΛΕΓΧΟΣ(2)'!I59</f>
        <v>0.86600000000000021</v>
      </c>
      <c r="H59" s="164">
        <f>'ΚΑΤΑΧΩΡΗΣΗ-ΕΛΕΓΧΟΣ(2)'!J59</f>
        <v>2.4E-2</v>
      </c>
      <c r="I59" s="164">
        <f>'ΚΑΤΑΧΩΡΗΣΗ-ΕΛΕΓΧΟΣ(2)'!K59</f>
        <v>9.2999999999999999E-2</v>
      </c>
      <c r="J59" s="164">
        <f>'ΚΑΤΑΧΩΡΗΣΗ-ΕΛΕΓΧΟΣ(2)'!L59</f>
        <v>0</v>
      </c>
      <c r="K59" s="164">
        <f>'ΚΑΤΑΧΩΡΗΣΗ-ΕΛΕΓΧΟΣ(2)'!M59</f>
        <v>9.8000000000000004E-2</v>
      </c>
      <c r="L59" s="164">
        <f>'ΚΑΤΑΧΩΡΗΣΗ-ΕΛΕΓΧΟΣ(2)'!N59</f>
        <v>0</v>
      </c>
      <c r="M59" s="164">
        <f>'ΚΑΤΑΧΩΡΗΣΗ-ΕΛΕΓΧΟΣ(2)'!O59</f>
        <v>0</v>
      </c>
    </row>
    <row r="60" spans="2:14" ht="27" customHeight="1" thickBot="1" x14ac:dyDescent="0.4">
      <c r="B60" s="252" t="s">
        <v>256</v>
      </c>
      <c r="C60" s="685">
        <f>'ΚΑΤΑΧΩΡΗΣΗ-ΕΛΕΓΧΟΣ(2)'!E60</f>
        <v>6.0000000000000001E-3</v>
      </c>
      <c r="D60" s="685">
        <f>'ΚΑΤΑΧΩΡΗΣΗ-ΕΛΕΓΧΟΣ(2)'!F60</f>
        <v>0</v>
      </c>
      <c r="E60" s="164">
        <f>'ΚΑΤΑΧΩΡΗΣΗ-ΕΛΕΓΧΟΣ(2)'!G60</f>
        <v>7.6999999999999999E-2</v>
      </c>
      <c r="F60" s="164">
        <f>'ΚΑΤΑΧΩΡΗΣΗ-ΕΛΕΓΧΟΣ(2)'!H60</f>
        <v>0.54209980586723205</v>
      </c>
      <c r="G60" s="164">
        <f>'ΚΑΤΑΧΩΡΗΣΗ-ΕΛΕΓΧΟΣ(2)'!I60</f>
        <v>0.161</v>
      </c>
      <c r="H60" s="164">
        <f>'ΚΑΤΑΧΩΡΗΣΗ-ΕΛΕΓΧΟΣ(2)'!J60</f>
        <v>3.5000000000000003E-2</v>
      </c>
      <c r="I60" s="164">
        <f>'ΚΑΤΑΧΩΡΗΣΗ-ΕΛΕΓΧΟΣ(2)'!K60</f>
        <v>3.4999999999999996E-2</v>
      </c>
      <c r="J60" s="164">
        <f>'ΚΑΤΑΧΩΡΗΣΗ-ΕΛΕΓΧΟΣ(2)'!L60</f>
        <v>0.186</v>
      </c>
      <c r="K60" s="164">
        <f>'ΚΑΤΑΧΩΡΗΣΗ-ΕΛΕΓΧΟΣ(2)'!M60</f>
        <v>0.20799999999999999</v>
      </c>
      <c r="L60" s="164">
        <f>'ΚΑΤΑΧΩΡΗΣΗ-ΕΛΕΓΧΟΣ(2)'!N60</f>
        <v>4.0000000000000001E-3</v>
      </c>
      <c r="M60" s="164">
        <f>'ΚΑΤΑΧΩΡΗΣΗ-ΕΛΕΓΧΟΣ(2)'!O60</f>
        <v>0</v>
      </c>
    </row>
    <row r="61" spans="2:14" ht="27" customHeight="1" thickBot="1" x14ac:dyDescent="0.4">
      <c r="B61" s="686" t="s">
        <v>21</v>
      </c>
      <c r="C61" s="687">
        <f t="shared" ref="C61:M61" si="2">SUM(C50:C60)</f>
        <v>17.906999999999993</v>
      </c>
      <c r="D61" s="213">
        <f t="shared" si="2"/>
        <v>48.889000000000003</v>
      </c>
      <c r="E61" s="213">
        <f t="shared" si="2"/>
        <v>44.896999999999998</v>
      </c>
      <c r="F61" s="213">
        <f t="shared" si="2"/>
        <v>265.04209980586722</v>
      </c>
      <c r="G61" s="213">
        <f t="shared" si="2"/>
        <v>135.94916150088179</v>
      </c>
      <c r="H61" s="213">
        <f t="shared" si="2"/>
        <v>36.097999999999999</v>
      </c>
      <c r="I61" s="213">
        <f t="shared" si="2"/>
        <v>153.75299999999999</v>
      </c>
      <c r="J61" s="213">
        <f t="shared" si="2"/>
        <v>48.777999999999999</v>
      </c>
      <c r="K61" s="213">
        <f t="shared" si="2"/>
        <v>24.714000000000006</v>
      </c>
      <c r="L61" s="213">
        <f t="shared" si="2"/>
        <v>18.664000000000001</v>
      </c>
      <c r="M61" s="213">
        <f t="shared" si="2"/>
        <v>94.808999999999997</v>
      </c>
    </row>
    <row r="62" spans="2:14" ht="27" customHeight="1" thickBot="1" x14ac:dyDescent="0.35">
      <c r="B62" s="248" t="s">
        <v>257</v>
      </c>
      <c r="C62" s="102"/>
      <c r="E62" s="132"/>
      <c r="L62" s="131"/>
      <c r="M62" s="131"/>
      <c r="N62" s="127"/>
    </row>
    <row r="63" spans="2:14" ht="27" customHeight="1" x14ac:dyDescent="0.35">
      <c r="B63" s="860" t="s">
        <v>258</v>
      </c>
      <c r="C63" s="861"/>
      <c r="D63" s="862"/>
      <c r="E63" s="343">
        <v>2.8</v>
      </c>
      <c r="F63" s="364">
        <f>'ΙΣΤΟΣΕΛΙΔΑ-GR(4)'!F63</f>
        <v>1E-3</v>
      </c>
      <c r="G63" s="688">
        <f>'ΕΙΣΡΟΕΣ-ΕΚΡΟΕΣ(3)'!H68</f>
        <v>2.5890000000000004</v>
      </c>
      <c r="H63" s="689">
        <f>'ΕΙΣΡΟΕΣ-ΕΚΡΟΕΣ(3)'!I68</f>
        <v>2.8</v>
      </c>
      <c r="I63" s="690">
        <f>H63/E63*100</f>
        <v>100</v>
      </c>
      <c r="J63" s="347">
        <f>'ΕΙΣΡΟΕΣ-ΕΚΡΟΕΣ(3)'!K68</f>
        <v>1.004</v>
      </c>
      <c r="K63" s="691">
        <f>J63/E63*100</f>
        <v>35.857142857142861</v>
      </c>
      <c r="L63" s="692">
        <v>1.069</v>
      </c>
      <c r="M63" s="518">
        <v>45729</v>
      </c>
      <c r="N63" s="127"/>
    </row>
    <row r="64" spans="2:14" ht="27" customHeight="1" x14ac:dyDescent="0.35">
      <c r="B64" s="850" t="s">
        <v>259</v>
      </c>
      <c r="C64" s="851"/>
      <c r="D64" s="852"/>
      <c r="E64" s="146">
        <v>2</v>
      </c>
      <c r="F64" s="693">
        <f>'ΙΣΤΟΣΕΛΙΔΑ-GR(4)'!F64</f>
        <v>1E-3</v>
      </c>
      <c r="G64" s="435">
        <f>'ΕΙΣΡΟΕΣ-ΕΚΡΟΕΣ(3)'!H69</f>
        <v>1.0680000000000001</v>
      </c>
      <c r="H64" s="694">
        <f>'ΕΙΣΡΟΕΣ-ΕΚΡΟΕΣ(3)'!I69</f>
        <v>2</v>
      </c>
      <c r="I64" s="695">
        <f>H64/E64*100</f>
        <v>100</v>
      </c>
      <c r="J64" s="325">
        <f>'ΕΙΣΡΟΕΣ-ΕΚΡΟΕΣ(3)'!K69</f>
        <v>1.4610000000000001</v>
      </c>
      <c r="K64" s="269">
        <f>J64/E64*100</f>
        <v>73.05</v>
      </c>
      <c r="L64" s="311">
        <v>1.4730000000000001</v>
      </c>
      <c r="M64" s="519">
        <v>45743</v>
      </c>
      <c r="N64" s="127"/>
    </row>
    <row r="65" spans="2:14" ht="27" customHeight="1" thickBot="1" x14ac:dyDescent="0.4">
      <c r="B65" s="853" t="s">
        <v>169</v>
      </c>
      <c r="C65" s="854"/>
      <c r="D65" s="855"/>
      <c r="E65" s="350">
        <v>4.4539999999999997</v>
      </c>
      <c r="F65" s="696">
        <f>'ΙΣΤΟΣΕΛΙΔΑ-GR(4)'!F65</f>
        <v>0</v>
      </c>
      <c r="G65" s="697">
        <f>'ΕΙΣΡΟΕΣ-ΕΚΡΟΕΣ(3)'!H70</f>
        <v>2.6360000000000001</v>
      </c>
      <c r="H65" s="698">
        <f>'ΕΙΣΡΟΕΣ-ΕΚΡΟΕΣ(3)'!I70</f>
        <v>4.4541319775000217</v>
      </c>
      <c r="I65" s="699">
        <f>H65/E65*100</f>
        <v>100.00296312303595</v>
      </c>
      <c r="J65" s="353">
        <f>'ΕΙΣΡΟΕΣ-ΕΚΡΟΕΣ(3)'!K70</f>
        <v>2.8969999999999998</v>
      </c>
      <c r="K65" s="700">
        <f>J65/E65*100</f>
        <v>65.042658284687917</v>
      </c>
      <c r="L65" s="701">
        <v>3.012</v>
      </c>
      <c r="M65" s="520">
        <v>45729</v>
      </c>
      <c r="N65" s="127"/>
    </row>
    <row r="66" spans="2:14" ht="21" customHeight="1" x14ac:dyDescent="0.3">
      <c r="B66" s="166" t="s">
        <v>260</v>
      </c>
      <c r="C66" s="127"/>
      <c r="D66" s="127"/>
      <c r="E66" s="127"/>
      <c r="N66" s="127"/>
    </row>
    <row r="67" spans="2:14" ht="21" customHeight="1" x14ac:dyDescent="0.3">
      <c r="B67" s="165"/>
      <c r="C67" s="102"/>
      <c r="D67" s="102"/>
      <c r="F67" s="132"/>
      <c r="M67" s="131"/>
      <c r="N67" s="127"/>
    </row>
    <row r="68" spans="2:14" ht="32.25" customHeight="1" x14ac:dyDescent="0.3">
      <c r="B68" s="165"/>
      <c r="C68" s="165"/>
      <c r="G68" s="132"/>
      <c r="H68" s="702"/>
      <c r="K68" s="127"/>
      <c r="L68" s="129"/>
    </row>
    <row r="69" spans="2:14" ht="32.25" customHeight="1" x14ac:dyDescent="0.3">
      <c r="B69" s="165"/>
      <c r="K69" s="165"/>
      <c r="L69" s="165"/>
    </row>
    <row r="70" spans="2:14" ht="32.25" customHeight="1" x14ac:dyDescent="0.3">
      <c r="B70" s="165"/>
    </row>
    <row r="71" spans="2:14" s="127" customFormat="1" ht="32.25" customHeight="1" x14ac:dyDescent="0.3">
      <c r="B71" s="165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</row>
    <row r="72" spans="2:14" ht="32.25" customHeight="1" x14ac:dyDescent="0.3">
      <c r="B72" s="165"/>
      <c r="K72" s="128"/>
      <c r="L72" s="129"/>
    </row>
    <row r="73" spans="2:14" ht="32.25" customHeight="1" x14ac:dyDescent="0.3">
      <c r="B73" s="165"/>
      <c r="K73" s="128"/>
      <c r="L73" s="129"/>
    </row>
    <row r="74" spans="2:14" ht="32.25" customHeight="1" x14ac:dyDescent="0.3">
      <c r="B74" s="165"/>
      <c r="K74" s="128"/>
      <c r="L74" s="129"/>
    </row>
    <row r="75" spans="2:14" ht="32.25" customHeight="1" x14ac:dyDescent="0.3">
      <c r="B75" s="165"/>
      <c r="K75" s="128"/>
      <c r="L75" s="129"/>
    </row>
    <row r="77" spans="2:14" ht="32.25" customHeight="1" x14ac:dyDescent="0.3">
      <c r="B77" s="165"/>
      <c r="C77" s="127"/>
      <c r="D77" s="127"/>
      <c r="E77" s="133"/>
      <c r="F77" s="134"/>
      <c r="I77" s="102"/>
      <c r="J77" s="129"/>
      <c r="K77" s="128"/>
    </row>
    <row r="78" spans="2:14" ht="32.25" customHeight="1" x14ac:dyDescent="0.3">
      <c r="B78" s="165"/>
    </row>
    <row r="79" spans="2:14" ht="32.25" customHeight="1" x14ac:dyDescent="0.3">
      <c r="B79" s="129"/>
    </row>
    <row r="80" spans="2:14" ht="32.25" customHeight="1" x14ac:dyDescent="0.3">
      <c r="B80" s="165"/>
    </row>
    <row r="81" spans="2:2" ht="32.25" customHeight="1" x14ac:dyDescent="0.3">
      <c r="B81" s="165"/>
    </row>
    <row r="83" spans="2:2" ht="32.25" customHeight="1" x14ac:dyDescent="0.3">
      <c r="B83" s="165"/>
    </row>
    <row r="85" spans="2:2" ht="32.25" customHeight="1" x14ac:dyDescent="0.3">
      <c r="B85" s="165"/>
    </row>
    <row r="86" spans="2:2" ht="32.25" customHeight="1" x14ac:dyDescent="0.3">
      <c r="B86" s="165"/>
    </row>
  </sheetData>
  <mergeCells count="40">
    <mergeCell ref="B9:M9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DAILY-ELEV-STR(1)</vt:lpstr>
      <vt:lpstr>ΚΑΤΑΧΩΡΗΣΗ-ΕΛΕΓΧΟΣ(2)</vt:lpstr>
      <vt:lpstr>ΕΙΣΡΟΕΣ-ΕΚΡΟΕΣ(3)</vt:lpstr>
      <vt:lpstr>ΙΣΤΟΣΕΛΙΔΑ-GR(4)</vt:lpstr>
      <vt:lpstr>ΙΣΤΟΣΕΛΙΔΑ-UK(5)</vt:lpstr>
      <vt:lpstr>'DAILY-ELEV-STR(1)'!Print_Area</vt:lpstr>
      <vt:lpstr>'ΕΙΣΡΟΕΣ-ΕΚΡΟΕΣ(3)'!Print_Area</vt:lpstr>
      <vt:lpstr>'ΙΣΤΟΣΕΛΙΔΑ-GR(4)'!Print_Area</vt:lpstr>
      <vt:lpstr>'ΙΣΤΟΣΕΛΙΔΑ-UK(5)'!Print_Area</vt:lpstr>
      <vt:lpstr>'ΚΑΤΑΧΩΡΗΣΗ-ΕΛΕΓΧΟΣ(2)'!Print_Area</vt:lpstr>
      <vt:lpstr>'ΙΣΤΟΣΕΛΙΔΑ-GR(4)'!Print_Titles</vt:lpstr>
      <vt:lpstr>'ΙΣΤΟΣΕΛΙΔΑ-UK(5)'!Print_Titles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Chrystalla Kazanga</cp:lastModifiedBy>
  <cp:lastPrinted>2026-04-23T06:42:21Z</cp:lastPrinted>
  <dcterms:created xsi:type="dcterms:W3CDTF">1999-04-29T12:41:16Z</dcterms:created>
  <dcterms:modified xsi:type="dcterms:W3CDTF">2026-04-23T06:54:37Z</dcterms:modified>
</cp:coreProperties>
</file>