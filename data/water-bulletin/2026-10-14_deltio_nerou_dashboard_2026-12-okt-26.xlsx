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kazanga\Desktop\"/>
    </mc:Choice>
  </mc:AlternateContent>
  <xr:revisionPtr revIDLastSave="0" documentId="13_ncr:1_{08D54CDE-6DB5-4EE8-930A-AFA26C1488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📊 DASHBOARD" sheetId="1" r:id="rId1"/>
    <sheet name="📋 ΔΕΔΟΜΕΝΑ ΦΡΑΓΜΑΤΩΝ" sheetId="2" r:id="rId2"/>
    <sheet name="💧 ΠΗΓΕΣ ΥΔΡΕΥΣΗΣ" sheetId="3" r:id="rId3"/>
  </sheets>
  <calcPr calcId="191029"/>
</workbook>
</file>

<file path=xl/calcChain.xml><?xml version="1.0" encoding="utf-8"?>
<calcChain xmlns="http://schemas.openxmlformats.org/spreadsheetml/2006/main">
  <c r="F31" i="1" l="1"/>
  <c r="F30" i="1"/>
  <c r="F26" i="1"/>
  <c r="F29" i="1"/>
  <c r="F27" i="1"/>
  <c r="F24" i="1"/>
  <c r="F25" i="1"/>
  <c r="H7" i="1" l="1"/>
  <c r="G20" i="1" l="1"/>
  <c r="C10" i="2" l="1"/>
  <c r="F9" i="2"/>
  <c r="G9" i="2" s="1"/>
  <c r="F8" i="2"/>
  <c r="G8" i="2" s="1"/>
  <c r="F7" i="2"/>
  <c r="G7" i="2" s="1"/>
  <c r="F6" i="2"/>
  <c r="F5" i="2"/>
  <c r="G5" i="2" s="1"/>
  <c r="F4" i="2"/>
  <c r="G4" i="2" s="1"/>
  <c r="E9" i="2"/>
  <c r="E8" i="2"/>
  <c r="E7" i="2"/>
  <c r="E6" i="2"/>
  <c r="E5" i="2"/>
  <c r="E4" i="2"/>
  <c r="D9" i="2"/>
  <c r="D8" i="2"/>
  <c r="D7" i="2"/>
  <c r="D6" i="2"/>
  <c r="D5" i="2"/>
  <c r="D4" i="2"/>
  <c r="F32" i="1"/>
  <c r="C32" i="1"/>
  <c r="F12" i="3"/>
  <c r="F11" i="3"/>
  <c r="F10" i="3"/>
  <c r="F9" i="3"/>
  <c r="F8" i="3"/>
  <c r="F7" i="3"/>
  <c r="F6" i="3"/>
  <c r="F5" i="3"/>
  <c r="C9" i="3"/>
  <c r="C8" i="3"/>
  <c r="C7" i="3"/>
  <c r="C6" i="3"/>
  <c r="C5" i="3"/>
  <c r="B7" i="1"/>
  <c r="F7" i="1" s="1"/>
  <c r="D10" i="2" l="1"/>
  <c r="E10" i="2"/>
  <c r="F10" i="2"/>
  <c r="G10" i="2" s="1"/>
  <c r="G6" i="2"/>
  <c r="C13" i="3"/>
  <c r="C19" i="3" s="1"/>
  <c r="F13" i="3"/>
  <c r="C18" i="3" s="1"/>
  <c r="D33" i="1"/>
  <c r="G15" i="1"/>
  <c r="I15" i="1" s="1"/>
  <c r="G16" i="1"/>
  <c r="I16" i="1" s="1"/>
  <c r="G17" i="1"/>
  <c r="I17" i="1" s="1"/>
  <c r="G18" i="1"/>
  <c r="I18" i="1" s="1"/>
  <c r="G19" i="1"/>
  <c r="I19" i="1" s="1"/>
  <c r="G14" i="1"/>
  <c r="I14" i="1" s="1"/>
  <c r="D14" i="3" l="1"/>
</calcChain>
</file>

<file path=xl/sharedStrings.xml><?xml version="1.0" encoding="utf-8"?>
<sst xmlns="http://schemas.openxmlformats.org/spreadsheetml/2006/main" count="110" uniqueCount="74">
  <si>
    <t>💧 ΔΕΛΤΙΟ ΝΕΡΟΥ  |  ΚΥΠΡΟΣ</t>
  </si>
  <si>
    <t>📅 ΠΕΡΣΙ
ΤΗΝ ΙΔΙΑ ΕΒΔΟΜΑΔΑ</t>
  </si>
  <si>
    <t>ΦΡΑΓΜΑ</t>
  </si>
  <si>
    <t>ΧΩΡΗΤ.
(ΕΚΜ)</t>
  </si>
  <si>
    <t>ΕΙΣΡΟΗ
(ΕΚΜ)</t>
  </si>
  <si>
    <t>ΕΚΡΟΗ
(ΕΚΜ)</t>
  </si>
  <si>
    <t>ΑΠΟΘΕΜΑ
(ΕΚΜ)</t>
  </si>
  <si>
    <t>ΠΛΗΡΟΤΗΤΑ</t>
  </si>
  <si>
    <t>ΚΑΤΑΣΤΑΣΗ</t>
  </si>
  <si>
    <t>ΟΠΤΙΚΗ
ΠΛΗΡΟΤΗΤΑ</t>
  </si>
  <si>
    <t>Κούρης</t>
  </si>
  <si>
    <t>⚠️ Μέτρια</t>
  </si>
  <si>
    <t>Ασπρόκρεμμος</t>
  </si>
  <si>
    <t>Κανναβιού</t>
  </si>
  <si>
    <t>Καλαβασός</t>
  </si>
  <si>
    <t>🔴 Χαμηλή</t>
  </si>
  <si>
    <t>Διπόταμος</t>
  </si>
  <si>
    <t>Λεύκαρα</t>
  </si>
  <si>
    <t>ΠΑΓΚΥΠΡΙΑ ΣΥΝΟΛΑ</t>
  </si>
  <si>
    <t>🏗️  ΔΙΥΛΙΣΤΗΡΙΑ</t>
  </si>
  <si>
    <t>🌊  ΑΦΑΛΑΤΩΣΕΙΣ</t>
  </si>
  <si>
    <t>Διυλιστήριο Τερσεφάνου</t>
  </si>
  <si>
    <t>Αφαλάτωση Δεκέλειας</t>
  </si>
  <si>
    <t>Διυλιστήριο Κόρνου</t>
  </si>
  <si>
    <t>Αφαλάτωση Βασιλικού</t>
  </si>
  <si>
    <t>Διυλιστήριο Λεμεσού</t>
  </si>
  <si>
    <t>Αφαλάτωση Επισκοπής</t>
  </si>
  <si>
    <t>Διυλιστήριο Ασπρόκρεμμου</t>
  </si>
  <si>
    <t>Αφαλάτωση Λάρνακας</t>
  </si>
  <si>
    <t>Διυλιστήριο Κανναβιού</t>
  </si>
  <si>
    <t>Αφαλάτωση Πάφου</t>
  </si>
  <si>
    <t>Αφαλάτωση Μονής</t>
  </si>
  <si>
    <t>Αφαλάτωση Κισσόνεργας</t>
  </si>
  <si>
    <t>Αφαλάτωση Λιμάνι Λεμεσού</t>
  </si>
  <si>
    <t>ΣΥΝΟΛΟ ΔΙΥΛΙΣΤΗΡΙΩΝ</t>
  </si>
  <si>
    <t>ΣΥΝΟΛΟ ΑΦΑΛΑΤΩΣΕΩΝ</t>
  </si>
  <si>
    <t>🏆  ΣΥΝΟΛΙΚΗ ΠΑΡΑΓΩΓΗ</t>
  </si>
  <si>
    <t xml:space="preserve">  🔍  ΚΥΡΙΑ ΣΥΜΠΕΡΑΣΜΑΤΑ</t>
  </si>
  <si>
    <t xml:space="preserve"> 📈  ΙΣΤΟΡΙΚΑ ΥΨΗΛΗ ΠΛΗΡΟΤΗΤΑ</t>
  </si>
  <si>
    <t xml:space="preserve"> 🏆  ΚΑΝΝΑΒΙΟΥ – ΠΡΩΤΟ ΣΕ ΠΛΗΡΟΤΗΤΑ</t>
  </si>
  <si>
    <t xml:space="preserve"> ⚠️  ΛΕΥΚΑΡΑ – ΧΑΜΗΛΗ ΑΠΟΘΕΣΗ</t>
  </si>
  <si>
    <t xml:space="preserve"> 🌊  ΑΦΑΛΑΤΩΣΕΙΣ – ΚΥΡΙΑ ΠΗΓΗ ΝΕΡΟΥ</t>
  </si>
  <si>
    <t>ΔΕΛΤΙΟ ΝΕΡΟΥ – 6 ΜΕΓΑΛΥΤΕΡΑ ΦΡΑΓΜΑΤΑ ΚΥΠΡΟΥ</t>
  </si>
  <si>
    <t>Α/Α</t>
  </si>
  <si>
    <t>ΧΩΡΗΤΙΚΟΤΗΤΑ (ΕΚΜ)</t>
  </si>
  <si>
    <t>ΠΟΣΟΣΤΟ ΠΛΗΡΟΤΗΤΑΣ</t>
  </si>
  <si>
    <t>Φράγμα</t>
  </si>
  <si>
    <t>Απόθεμα (ΕΚΜ)</t>
  </si>
  <si>
    <t>Χωρητικότητα (ΕΚΜ)</t>
  </si>
  <si>
    <t>Διυλιστήρια &amp; Αφαλατώσεις  •  Τμήμα Αναπτύξεως Υδάτων (ΤΑΥ)</t>
  </si>
  <si>
    <t>ΕΓΚΑΤΑΣΤΑΣΗ</t>
  </si>
  <si>
    <t>ΠΑΡΑΓΩΓΗ (ΚΜ)</t>
  </si>
  <si>
    <t>ΣΥΝΟΛΙΚΗ ΕΒΔΟΜΑΔΙΑΙΑ ΠΑΡΑΓΩΓΗ</t>
  </si>
  <si>
    <t>Κατηγορία</t>
  </si>
  <si>
    <t>Παραγωγή (ΚΜ)</t>
  </si>
  <si>
    <t>Αφαλατώσεις</t>
  </si>
  <si>
    <t>Διυλιστήρια</t>
  </si>
  <si>
    <t>📈 ΣΥΓΚΡΙΣΗ ΜΕ ΠΡΟΗΓΟΥΜΕΝΟ ΕΤΟΣ</t>
  </si>
  <si>
    <t>🏞️ ΠΛΗΡΟΤΗΤΑ ΣΗΜΕΡΑ</t>
  </si>
  <si>
    <t>ΕΙΣΡΟΗ 8-15/6 (ΕΚΜ)</t>
  </si>
  <si>
    <t>ΕΚΡΟΗ 8-15/6 (ΕΚΜ)</t>
  </si>
  <si>
    <t>ΑΠΟΘΕΜΑ 15/6 (ΕΚΜ)</t>
  </si>
  <si>
    <t>ΣΥΝΟΛΟ</t>
  </si>
  <si>
    <t>💦 ΑΠΟΘΗΚΕΥΜΕΝΟ
ΝΕΡΟ ΕΚΜ</t>
  </si>
  <si>
    <t>Πηγή: Τμήμα Αναπτύξεως Υδάτων (ΤΑΥ) – Κυπριακή Δημοκρατία  |  Αναφορά: Ιούλιος 2026</t>
  </si>
  <si>
    <t>ΠΑΡΑΓΩΓΗ ΠΟΣΙΜΟΥ ΝΕΡΟΥ  |  20 –27 Ιουλίου 2026</t>
  </si>
  <si>
    <t>Αποθηκευμένη Ποσότητα &amp; Κινήσεις  |  27 Ιουλίου 2026</t>
  </si>
  <si>
    <t>Εβδομαδιαία Έκθεση Υδάτινης Κατάστασης  • 5 Οκτωβρίου 2026  – 12 Οκτωβρίου 2026</t>
  </si>
  <si>
    <t xml:space="preserve">  🏗️  ΚΑΤΑΣΤΑΣΗ ΦΡΑΓΜΑΤΩΝ  –  12 ΟΚκτωβρίου 2026</t>
  </si>
  <si>
    <t xml:space="preserve">  🏭  ΠΑΡΑΓΩΓΗ ΠΟΣΙΜΟΥ ΝΕΡΟΥ  –  5 Οκτωβρίου 2026  – 12 Οκτωβρίου 2026</t>
  </si>
  <si>
    <t xml:space="preserve">     Τα φράγματα της Κύπρου βρίσκονται στο 35.3% – Αύξηση 275% σε σχέση με την ίδια εβδομάδα του 2025 (13.4%).</t>
  </si>
  <si>
    <t xml:space="preserve">     Το φράγμα Κανναβιού υπερβαίνει το 42%, αποτελώντας το πληρέστερο μεγάλο φράγμα της Κύπρου.</t>
  </si>
  <si>
    <t xml:space="preserve">     Το φράγμα Λεύκαρα παραμένει στο 17.3% – η χαμηλότερη πληρότητα μεταξύ των 6 μεγαλύτερων φραγμάτων.</t>
  </si>
  <si>
    <t xml:space="preserve">     Οι αφαλατώσεις παρέχουν το 71,3% (2,465, εκ. ΚΜ) της συνολικής παραγωγής πόσιμου νερού της εβδομάδας.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</si>
</sst>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%"/>
    <numFmt numFmtId="166" formatCode="#,##0\ &quot;ΚΜ&quot;"/>
  </numFmts>
  <fonts count="37" x14ac:knownFonts="1">
    <font>
      <sz val="11"/>
      <color theme="1"/>
      <name val="Calibri"/>
      <family val="2"/>
      <scheme val="minor"/>
    </font>
    <font>
      <b/>
      <sz val="22"/>
      <color rgb="FFFFFFFF"/>
      <name val="Arial"/>
      <family val="2"/>
      <charset val="161"/>
    </font>
    <font>
      <i/>
      <sz val="11"/>
      <color rgb="FFD6E4F0"/>
      <name val="Arial"/>
      <family val="2"/>
      <charset val="161"/>
    </font>
    <font>
      <b/>
      <sz val="8.5"/>
      <color rgb="FF1B3A5C"/>
      <name val="Arial"/>
      <family val="2"/>
      <charset val="161"/>
    </font>
    <font>
      <b/>
      <sz val="22"/>
      <color rgb="FFF2C12E"/>
      <name val="Arial"/>
      <family val="2"/>
      <charset val="161"/>
    </font>
    <font>
      <i/>
      <sz val="9"/>
      <color rgb="FF888888"/>
      <name val="Arial"/>
      <family val="2"/>
      <charset val="161"/>
    </font>
    <font>
      <b/>
      <sz val="22"/>
      <color rgb="FFE26B0A"/>
      <name val="Arial"/>
      <family val="2"/>
      <charset val="161"/>
    </font>
    <font>
      <b/>
      <sz val="22"/>
      <color rgb="FF00B050"/>
      <name val="Arial"/>
      <family val="2"/>
      <charset val="161"/>
    </font>
    <font>
      <b/>
      <sz val="22"/>
      <color rgb="FF00B0F0"/>
      <name val="Arial"/>
      <family val="2"/>
      <charset val="161"/>
    </font>
    <font>
      <b/>
      <sz val="13"/>
      <color rgb="FFFFFFFF"/>
      <name val="Arial"/>
      <family val="2"/>
      <charset val="161"/>
    </font>
    <font>
      <b/>
      <sz val="9"/>
      <color rgb="FFFFFFFF"/>
      <name val="Arial"/>
      <family val="2"/>
      <charset val="161"/>
    </font>
    <font>
      <b/>
      <sz val="10"/>
      <color rgb="FF000000"/>
      <name val="Arial"/>
      <family val="2"/>
      <charset val="161"/>
    </font>
    <font>
      <sz val="10"/>
      <color rgb="FF000000"/>
      <name val="Arial"/>
      <family val="2"/>
      <charset val="161"/>
    </font>
    <font>
      <b/>
      <sz val="11"/>
      <color rgb="FFE26B0A"/>
      <name val="Arial"/>
      <family val="2"/>
      <charset val="161"/>
    </font>
    <font>
      <sz val="9"/>
      <color rgb="FF000000"/>
      <name val="Arial"/>
      <family val="2"/>
      <charset val="161"/>
    </font>
    <font>
      <b/>
      <sz val="11"/>
      <color rgb="FF00B050"/>
      <name val="Arial"/>
      <family val="2"/>
      <charset val="161"/>
    </font>
    <font>
      <b/>
      <sz val="11"/>
      <color rgb="FFC00000"/>
      <name val="Arial"/>
      <family val="2"/>
      <charset val="161"/>
    </font>
    <font>
      <b/>
      <sz val="10"/>
      <color rgb="FFFFFFFF"/>
      <name val="Arial"/>
      <family val="2"/>
      <charset val="161"/>
    </font>
    <font>
      <b/>
      <sz val="13"/>
      <color rgb="FFF2C12E"/>
      <name val="Arial"/>
      <family val="2"/>
      <charset val="161"/>
    </font>
    <font>
      <b/>
      <sz val="9"/>
      <color rgb="FFF2C12E"/>
      <name val="Arial"/>
      <family val="2"/>
      <charset val="161"/>
    </font>
    <font>
      <b/>
      <sz val="11"/>
      <color rgb="FFFFFFFF"/>
      <name val="Arial"/>
      <family val="2"/>
      <charset val="161"/>
    </font>
    <font>
      <b/>
      <sz val="10"/>
      <color rgb="FF00B050"/>
      <name val="Arial"/>
      <family val="2"/>
      <charset val="161"/>
    </font>
    <font>
      <sz val="9.5"/>
      <color rgb="FF333333"/>
      <name val="Arial"/>
      <family val="2"/>
      <charset val="161"/>
    </font>
    <font>
      <b/>
      <sz val="10"/>
      <color rgb="FF2E6DA4"/>
      <name val="Arial"/>
      <family val="2"/>
      <charset val="161"/>
    </font>
    <font>
      <b/>
      <sz val="10"/>
      <color rgb="FFE26B0A"/>
      <name val="Arial"/>
      <family val="2"/>
      <charset val="161"/>
    </font>
    <font>
      <b/>
      <sz val="10"/>
      <color rgb="FF00B0F0"/>
      <name val="Arial"/>
      <family val="2"/>
      <charset val="161"/>
    </font>
    <font>
      <i/>
      <sz val="8"/>
      <color rgb="FF888888"/>
      <name val="Arial"/>
      <family val="2"/>
      <charset val="161"/>
    </font>
    <font>
      <b/>
      <sz val="16"/>
      <color rgb="FFFFFFFF"/>
      <name val="Arial"/>
      <family val="2"/>
      <charset val="161"/>
    </font>
    <font>
      <i/>
      <sz val="10"/>
      <color rgb="FFD6E4F0"/>
      <name val="Arial"/>
      <family val="2"/>
      <charset val="161"/>
    </font>
    <font>
      <b/>
      <sz val="9.5"/>
      <color rgb="FFFFFFFF"/>
      <name val="Arial"/>
      <family val="2"/>
      <charset val="161"/>
    </font>
    <font>
      <b/>
      <sz val="12"/>
      <color rgb="FFFFFFFF"/>
      <name val="Arial"/>
      <family val="2"/>
      <charset val="161"/>
    </font>
    <font>
      <b/>
      <sz val="16"/>
      <color rgb="FFF2C12E"/>
      <name val="Arial"/>
      <family val="2"/>
      <charset val="161"/>
    </font>
    <font>
      <b/>
      <sz val="10"/>
      <color rgb="FF000000"/>
      <name val="Arial"/>
      <family val="2"/>
      <charset val="161"/>
    </font>
    <font>
      <b/>
      <sz val="9.5"/>
      <color rgb="FFFFFFFF"/>
      <name val="Arial"/>
      <family val="2"/>
      <charset val="161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161"/>
    </font>
  </fonts>
  <fills count="10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2E6DA4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EEF4FA"/>
      </patternFill>
    </fill>
    <fill>
      <patternFill patternType="solid">
        <fgColor rgb="FFD6E4F0"/>
      </patternFill>
    </fill>
    <fill>
      <patternFill patternType="solid">
        <fgColor rgb="FF00B0F0"/>
      </patternFill>
    </fill>
    <fill>
      <patternFill patternType="solid">
        <fgColor rgb="FF007EA7"/>
      </patternFill>
    </fill>
  </fills>
  <borders count="3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F2C12E"/>
      </bottom>
      <diagonal/>
    </border>
    <border>
      <left/>
      <right/>
      <top/>
      <bottom style="medium">
        <color rgb="FFE26B0A"/>
      </bottom>
      <diagonal/>
    </border>
    <border>
      <left/>
      <right/>
      <top/>
      <bottom style="medium">
        <color rgb="FF00B050"/>
      </bottom>
      <diagonal/>
    </border>
    <border>
      <left/>
      <right/>
      <top/>
      <bottom style="medium">
        <color rgb="FF00B0F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/>
      <right/>
      <top style="thin">
        <color rgb="FF4472C4"/>
      </top>
      <bottom style="thin">
        <color rgb="FF4472C4"/>
      </bottom>
      <diagonal/>
    </border>
    <border>
      <left/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ck">
        <color rgb="FF00B050"/>
      </left>
      <right/>
      <top/>
      <bottom/>
      <diagonal/>
    </border>
    <border>
      <left style="thick">
        <color rgb="FF2E6DA4"/>
      </left>
      <right/>
      <top/>
      <bottom/>
      <diagonal/>
    </border>
    <border>
      <left style="thick">
        <color rgb="FFE26B0A"/>
      </left>
      <right/>
      <top/>
      <bottom/>
      <diagonal/>
    </border>
    <border>
      <left style="thick">
        <color rgb="FF00B0F0"/>
      </left>
      <right/>
      <top/>
      <bottom/>
      <diagonal/>
    </border>
    <border>
      <left style="thin">
        <color rgb="FF4472C4"/>
      </left>
      <right/>
      <top/>
      <bottom style="thin">
        <color rgb="FF4472C4"/>
      </bottom>
      <diagonal/>
    </border>
    <border>
      <left/>
      <right style="thin">
        <color rgb="FF4472C4"/>
      </right>
      <top/>
      <bottom style="thin">
        <color rgb="FF4472C4"/>
      </bottom>
      <diagonal/>
    </border>
    <border>
      <left style="thin">
        <color rgb="FF4472C4"/>
      </left>
      <right style="thin">
        <color rgb="FF4472C4"/>
      </right>
      <top/>
      <bottom style="thin">
        <color rgb="FF4472C4"/>
      </bottom>
      <diagonal/>
    </border>
    <border>
      <left style="thin">
        <color theme="1"/>
      </left>
      <right style="thin">
        <color theme="0" tint="-0.24994659260841701"/>
      </right>
      <top style="thin">
        <color theme="1"/>
      </top>
      <bottom style="thin">
        <color theme="0" tint="-0.24994659260841701"/>
      </bottom>
      <diagonal/>
    </border>
    <border>
      <left style="thin">
        <color theme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/>
      </left>
      <right style="thin">
        <color theme="0" tint="-0.24994659260841701"/>
      </right>
      <top style="thin">
        <color theme="0" tint="-0.24994659260841701"/>
      </top>
      <bottom style="thin">
        <color theme="1"/>
      </bottom>
      <diagonal/>
    </border>
    <border>
      <left style="thin">
        <color theme="0" tint="-0.24994659260841701"/>
      </left>
      <right/>
      <top style="thin">
        <color theme="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1"/>
      </bottom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2">
    <xf numFmtId="0" fontId="0" fillId="0" borderId="0"/>
    <xf numFmtId="9" fontId="35" fillId="0" borderId="0" applyFont="0" applyFill="0" applyBorder="0" applyAlignment="0" applyProtection="0"/>
  </cellStyleXfs>
  <cellXfs count="101">
    <xf numFmtId="0" fontId="0" fillId="0" borderId="0" xfId="0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10" fillId="3" borderId="6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left" vertical="center"/>
    </xf>
    <xf numFmtId="164" fontId="12" fillId="5" borderId="7" xfId="0" applyNumberFormat="1" applyFont="1" applyFill="1" applyBorder="1" applyAlignment="1">
      <alignment horizontal="center" vertical="center"/>
    </xf>
    <xf numFmtId="165" fontId="13" fillId="5" borderId="7" xfId="0" applyNumberFormat="1" applyFont="1" applyFill="1" applyBorder="1" applyAlignment="1">
      <alignment horizontal="center" vertical="center"/>
    </xf>
    <xf numFmtId="0" fontId="14" fillId="5" borderId="7" xfId="0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left" vertical="center"/>
    </xf>
    <xf numFmtId="164" fontId="12" fillId="6" borderId="7" xfId="0" applyNumberFormat="1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165" fontId="15" fillId="5" borderId="7" xfId="0" applyNumberFormat="1" applyFont="1" applyFill="1" applyBorder="1" applyAlignment="1">
      <alignment horizontal="center" vertical="center"/>
    </xf>
    <xf numFmtId="164" fontId="17" fillId="2" borderId="8" xfId="0" applyNumberFormat="1" applyFont="1" applyFill="1" applyBorder="1" applyAlignment="1">
      <alignment horizontal="center" vertical="center"/>
    </xf>
    <xf numFmtId="165" fontId="18" fillId="2" borderId="8" xfId="0" applyNumberFormat="1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0" fillId="2" borderId="0" xfId="0" applyFill="1"/>
    <xf numFmtId="0" fontId="12" fillId="5" borderId="7" xfId="0" applyFont="1" applyFill="1" applyBorder="1" applyAlignment="1">
      <alignment horizontal="left" vertical="center"/>
    </xf>
    <xf numFmtId="0" fontId="12" fillId="7" borderId="7" xfId="0" applyFont="1" applyFill="1" applyBorder="1" applyAlignment="1">
      <alignment horizontal="left" vertical="center"/>
    </xf>
    <xf numFmtId="0" fontId="0" fillId="7" borderId="0" xfId="0" applyFill="1"/>
    <xf numFmtId="0" fontId="0" fillId="5" borderId="0" xfId="0" applyFill="1"/>
    <xf numFmtId="0" fontId="17" fillId="3" borderId="8" xfId="0" applyFont="1" applyFill="1" applyBorder="1" applyAlignment="1">
      <alignment horizontal="left" vertical="center"/>
    </xf>
    <xf numFmtId="3" fontId="17" fillId="3" borderId="8" xfId="0" applyNumberFormat="1" applyFont="1" applyFill="1" applyBorder="1" applyAlignment="1">
      <alignment horizontal="center" vertical="center"/>
    </xf>
    <xf numFmtId="0" fontId="29" fillId="3" borderId="6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/>
    </xf>
    <xf numFmtId="0" fontId="12" fillId="7" borderId="7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left" vertical="center"/>
    </xf>
    <xf numFmtId="164" fontId="12" fillId="7" borderId="7" xfId="0" applyNumberFormat="1" applyFont="1" applyFill="1" applyBorder="1" applyAlignment="1">
      <alignment horizontal="center" vertical="center"/>
    </xf>
    <xf numFmtId="165" fontId="13" fillId="7" borderId="7" xfId="0" applyNumberFormat="1" applyFont="1" applyFill="1" applyBorder="1" applyAlignment="1">
      <alignment horizontal="center" vertical="center"/>
    </xf>
    <xf numFmtId="165" fontId="16" fillId="7" borderId="7" xfId="0" applyNumberFormat="1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3" fontId="23" fillId="5" borderId="7" xfId="0" applyNumberFormat="1" applyFont="1" applyFill="1" applyBorder="1" applyAlignment="1">
      <alignment horizontal="center" vertical="center"/>
    </xf>
    <xf numFmtId="3" fontId="25" fillId="5" borderId="7" xfId="0" applyNumberFormat="1" applyFont="1" applyFill="1" applyBorder="1" applyAlignment="1">
      <alignment horizontal="center" vertical="center"/>
    </xf>
    <xf numFmtId="3" fontId="23" fillId="7" borderId="7" xfId="0" applyNumberFormat="1" applyFont="1" applyFill="1" applyBorder="1" applyAlignment="1">
      <alignment horizontal="center" vertical="center"/>
    </xf>
    <xf numFmtId="3" fontId="25" fillId="7" borderId="7" xfId="0" applyNumberFormat="1" applyFont="1" applyFill="1" applyBorder="1" applyAlignment="1">
      <alignment horizontal="center" vertical="center"/>
    </xf>
    <xf numFmtId="3" fontId="30" fillId="3" borderId="8" xfId="0" applyNumberFormat="1" applyFont="1" applyFill="1" applyBorder="1" applyAlignment="1">
      <alignment horizontal="center" vertical="center"/>
    </xf>
    <xf numFmtId="0" fontId="17" fillId="9" borderId="8" xfId="0" applyFont="1" applyFill="1" applyBorder="1" applyAlignment="1">
      <alignment horizontal="left" vertical="center"/>
    </xf>
    <xf numFmtId="3" fontId="30" fillId="9" borderId="8" xfId="0" applyNumberFormat="1" applyFont="1" applyFill="1" applyBorder="1" applyAlignment="1">
      <alignment horizontal="center" vertical="center"/>
    </xf>
    <xf numFmtId="3" fontId="17" fillId="3" borderId="17" xfId="0" applyNumberFormat="1" applyFont="1" applyFill="1" applyBorder="1" applyAlignment="1">
      <alignment horizontal="center" vertical="center"/>
    </xf>
    <xf numFmtId="0" fontId="12" fillId="5" borderId="19" xfId="0" applyFont="1" applyFill="1" applyBorder="1" applyAlignment="1">
      <alignment horizontal="left" vertical="center"/>
    </xf>
    <xf numFmtId="0" fontId="12" fillId="7" borderId="19" xfId="0" applyFont="1" applyFill="1" applyBorder="1" applyAlignment="1">
      <alignment horizontal="left" vertical="center"/>
    </xf>
    <xf numFmtId="0" fontId="12" fillId="5" borderId="20" xfId="0" applyFont="1" applyFill="1" applyBorder="1" applyAlignment="1">
      <alignment horizontal="left" vertical="center"/>
    </xf>
    <xf numFmtId="3" fontId="12" fillId="5" borderId="22" xfId="0" applyNumberFormat="1" applyFont="1" applyFill="1" applyBorder="1" applyAlignment="1">
      <alignment horizontal="center" vertical="center"/>
    </xf>
    <xf numFmtId="3" fontId="12" fillId="7" borderId="22" xfId="0" applyNumberFormat="1" applyFont="1" applyFill="1" applyBorder="1" applyAlignment="1">
      <alignment horizontal="center" vertical="center"/>
    </xf>
    <xf numFmtId="3" fontId="12" fillId="5" borderId="29" xfId="0" applyNumberFormat="1" applyFont="1" applyFill="1" applyBorder="1" applyAlignment="1">
      <alignment horizontal="center" vertical="center"/>
    </xf>
    <xf numFmtId="3" fontId="12" fillId="7" borderId="29" xfId="0" applyNumberFormat="1" applyFont="1" applyFill="1" applyBorder="1" applyAlignment="1">
      <alignment horizontal="center" vertical="center"/>
    </xf>
    <xf numFmtId="3" fontId="0" fillId="0" borderId="0" xfId="0" applyNumberFormat="1"/>
    <xf numFmtId="164" fontId="32" fillId="5" borderId="7" xfId="0" applyNumberFormat="1" applyFont="1" applyFill="1" applyBorder="1" applyAlignment="1">
      <alignment horizontal="center" vertical="center"/>
    </xf>
    <xf numFmtId="164" fontId="32" fillId="6" borderId="7" xfId="0" applyNumberFormat="1" applyFont="1" applyFill="1" applyBorder="1" applyAlignment="1">
      <alignment horizontal="center" vertical="center"/>
    </xf>
    <xf numFmtId="0" fontId="33" fillId="3" borderId="6" xfId="0" applyFont="1" applyFill="1" applyBorder="1" applyAlignment="1">
      <alignment horizontal="center" vertical="center" wrapText="1"/>
    </xf>
    <xf numFmtId="3" fontId="34" fillId="5" borderId="23" xfId="0" applyNumberFormat="1" applyFont="1" applyFill="1" applyBorder="1" applyAlignment="1">
      <alignment horizontal="center" vertical="center"/>
    </xf>
    <xf numFmtId="3" fontId="36" fillId="7" borderId="22" xfId="0" applyNumberFormat="1" applyFont="1" applyFill="1" applyBorder="1" applyAlignment="1">
      <alignment horizontal="center" vertical="center"/>
    </xf>
    <xf numFmtId="0" fontId="17" fillId="3" borderId="15" xfId="0" applyFont="1" applyFill="1" applyBorder="1" applyAlignment="1">
      <alignment horizontal="center" vertical="center"/>
    </xf>
    <xf numFmtId="0" fontId="17" fillId="3" borderId="16" xfId="0" applyFont="1" applyFill="1" applyBorder="1" applyAlignment="1">
      <alignment horizontal="center" vertical="center"/>
    </xf>
    <xf numFmtId="0" fontId="17" fillId="3" borderId="24" xfId="0" applyFont="1" applyFill="1" applyBorder="1" applyAlignment="1">
      <alignment horizontal="center" vertical="center"/>
    </xf>
    <xf numFmtId="0" fontId="17" fillId="3" borderId="25" xfId="0" applyFont="1" applyFill="1" applyBorder="1" applyAlignment="1">
      <alignment horizontal="center" vertical="center"/>
    </xf>
    <xf numFmtId="0" fontId="17" fillId="3" borderId="26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9" fontId="7" fillId="4" borderId="0" xfId="1" applyFont="1" applyFill="1" applyAlignment="1">
      <alignment horizontal="center" vertical="center"/>
    </xf>
    <xf numFmtId="9" fontId="0" fillId="0" borderId="0" xfId="1" applyFont="1"/>
    <xf numFmtId="0" fontId="5" fillId="4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9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2" fillId="5" borderId="12" xfId="0" applyFont="1" applyFill="1" applyBorder="1" applyAlignment="1">
      <alignment horizontal="left" vertical="center" wrapText="1"/>
    </xf>
    <xf numFmtId="0" fontId="17" fillId="3" borderId="18" xfId="0" applyFont="1" applyFill="1" applyBorder="1" applyAlignment="1">
      <alignment horizontal="center" vertical="center"/>
    </xf>
    <xf numFmtId="0" fontId="0" fillId="0" borderId="21" xfId="0" applyBorder="1"/>
    <xf numFmtId="166" fontId="18" fillId="2" borderId="8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0" fontId="6" fillId="4" borderId="0" xfId="0" applyNumberFormat="1" applyFont="1" applyFill="1" applyAlignment="1">
      <alignment horizontal="center" vertical="center"/>
    </xf>
    <xf numFmtId="10" fontId="0" fillId="0" borderId="0" xfId="0" applyNumberFormat="1"/>
    <xf numFmtId="164" fontId="8" fillId="4" borderId="0" xfId="0" applyNumberFormat="1" applyFont="1" applyFill="1" applyAlignment="1">
      <alignment horizontal="center" vertical="center"/>
    </xf>
    <xf numFmtId="0" fontId="23" fillId="5" borderId="12" xfId="0" applyFont="1" applyFill="1" applyBorder="1" applyAlignment="1">
      <alignment horizontal="left" vertical="center"/>
    </xf>
    <xf numFmtId="0" fontId="22" fillId="4" borderId="11" xfId="0" applyFont="1" applyFill="1" applyBorder="1" applyAlignment="1">
      <alignment horizontal="left" vertical="center" wrapText="1"/>
    </xf>
    <xf numFmtId="165" fontId="4" fillId="4" borderId="0" xfId="0" applyNumberFormat="1" applyFont="1" applyFill="1" applyAlignment="1">
      <alignment horizontal="center" vertical="center"/>
    </xf>
    <xf numFmtId="0" fontId="17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 vertical="center"/>
    </xf>
    <xf numFmtId="0" fontId="12" fillId="5" borderId="27" xfId="0" applyFont="1" applyFill="1" applyBorder="1" applyAlignment="1">
      <alignment horizontal="left" vertical="center"/>
    </xf>
    <xf numFmtId="0" fontId="12" fillId="5" borderId="28" xfId="0" applyFont="1" applyFill="1" applyBorder="1" applyAlignment="1">
      <alignment horizontal="left" vertical="center"/>
    </xf>
    <xf numFmtId="0" fontId="26" fillId="4" borderId="0" xfId="0" applyFont="1" applyFill="1" applyAlignment="1">
      <alignment horizontal="center" vertical="center"/>
    </xf>
    <xf numFmtId="0" fontId="21" fillId="4" borderId="11" xfId="0" applyFont="1" applyFill="1" applyBorder="1" applyAlignment="1">
      <alignment horizontal="left" vertical="center"/>
    </xf>
    <xf numFmtId="0" fontId="22" fillId="4" borderId="13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left" vertical="center"/>
    </xf>
    <xf numFmtId="0" fontId="22" fillId="5" borderId="14" xfId="0" applyFont="1" applyFill="1" applyBorder="1" applyAlignment="1">
      <alignment horizontal="left" vertical="center" wrapText="1"/>
    </xf>
    <xf numFmtId="0" fontId="25" fillId="5" borderId="14" xfId="0" applyFont="1" applyFill="1" applyBorder="1" applyAlignment="1">
      <alignment horizontal="left" vertical="center"/>
    </xf>
    <xf numFmtId="0" fontId="24" fillId="4" borderId="13" xfId="0" applyFont="1" applyFill="1" applyBorder="1" applyAlignment="1">
      <alignment horizontal="left" vertical="center"/>
    </xf>
    <xf numFmtId="0" fontId="12" fillId="7" borderId="27" xfId="0" applyFont="1" applyFill="1" applyBorder="1" applyAlignment="1">
      <alignment horizontal="left" vertical="center"/>
    </xf>
    <xf numFmtId="0" fontId="12" fillId="7" borderId="28" xfId="0" applyFont="1" applyFill="1" applyBorder="1" applyAlignment="1">
      <alignment horizontal="left" vertical="center"/>
    </xf>
    <xf numFmtId="0" fontId="12" fillId="7" borderId="30" xfId="0" applyFont="1" applyFill="1" applyBorder="1" applyAlignment="1">
      <alignment horizontal="left" vertical="center"/>
    </xf>
    <xf numFmtId="0" fontId="12" fillId="7" borderId="31" xfId="0" applyFont="1" applyFill="1" applyBorder="1" applyAlignment="1">
      <alignment horizontal="left" vertical="center"/>
    </xf>
    <xf numFmtId="0" fontId="28" fillId="3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166" fontId="31" fillId="2" borderId="0" xfId="0" applyNumberFormat="1" applyFont="1" applyFill="1" applyAlignment="1">
      <alignment horizontal="center" vertical="center"/>
    </xf>
    <xf numFmtId="0" fontId="30" fillId="3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30" fillId="8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6">
    <dxf>
      <font>
        <color rgb="FFFF0000"/>
      </font>
    </dxf>
    <dxf>
      <font>
        <color theme="9"/>
      </font>
    </dxf>
    <dxf>
      <font>
        <color rgb="FF00B050"/>
      </font>
    </dxf>
    <dxf>
      <font>
        <color rgb="FFFF0000"/>
      </font>
    </dxf>
    <dxf>
      <font>
        <color theme="9"/>
      </font>
    </dxf>
    <dxf>
      <font>
        <color rgb="FF00B05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l-GR"/>
              <a:t>Απόθεμα </a:t>
            </a:r>
            <a:r>
              <a:rPr lang="en-US"/>
              <a:t>vs </a:t>
            </a:r>
            <a:r>
              <a:rPr lang="el-GR"/>
              <a:t>Χωρητικότητα (ΕΚΜ)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'📋 ΔΕΔΟΜΕΝΑ ΦΡΑΓΜΑΤΩΝ'!$B$14</c:f>
              <c:strCache>
                <c:ptCount val="1"/>
                <c:pt idx="0">
                  <c:v>Απόθεμα (ΕΚΜ)</c:v>
                </c:pt>
              </c:strCache>
            </c:strRef>
          </c:tx>
          <c:spPr>
            <a:solidFill>
              <a:srgbClr val="00B0F0"/>
            </a:solidFill>
            <a:ln>
              <a:prstDash val="solid"/>
            </a:ln>
          </c:spPr>
          <c:invertIfNegative val="1"/>
          <c:cat>
            <c:strRef>
              <c:f>'📋 ΔΕΔΟΜΕΝΑ ΦΡΑΓΜΑΤΩΝ'!$A$15:$A$20</c:f>
              <c:strCache>
                <c:ptCount val="6"/>
                <c:pt idx="0">
                  <c:v>Κούρης</c:v>
                </c:pt>
                <c:pt idx="1">
                  <c:v>Ασπρόκρεμμος</c:v>
                </c:pt>
                <c:pt idx="2">
                  <c:v>Κανναβιού</c:v>
                </c:pt>
                <c:pt idx="3">
                  <c:v>Καλαβασός</c:v>
                </c:pt>
                <c:pt idx="4">
                  <c:v>Διπόταμος</c:v>
                </c:pt>
                <c:pt idx="5">
                  <c:v>Λεύκαρα</c:v>
                </c:pt>
              </c:strCache>
            </c:strRef>
          </c:cat>
          <c:val>
            <c:numRef>
              <c:f>'📋 ΔΕΔΟΜΕΝΑ ΦΡΑΓΜΑΤΩΝ'!$B$15:$B$20</c:f>
              <c:numCache>
                <c:formatCode>General</c:formatCode>
                <c:ptCount val="6"/>
                <c:pt idx="0">
                  <c:v>48.154000000000003</c:v>
                </c:pt>
                <c:pt idx="1">
                  <c:v>21.88</c:v>
                </c:pt>
                <c:pt idx="2">
                  <c:v>8.9550000000000001</c:v>
                </c:pt>
                <c:pt idx="3">
                  <c:v>4.2130000000000001</c:v>
                </c:pt>
                <c:pt idx="4">
                  <c:v>5.8940000000000001</c:v>
                </c:pt>
                <c:pt idx="5">
                  <c:v>2.5579999999999998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329-41BD-B20F-0597B5BA7A40}"/>
            </c:ext>
          </c:extLst>
        </c:ser>
        <c:ser>
          <c:idx val="1"/>
          <c:order val="1"/>
          <c:tx>
            <c:strRef>
              <c:f>'📋 ΔΕΔΟΜΕΝΑ ΦΡΑΓΜΑΤΩΝ'!$C$14</c:f>
              <c:strCache>
                <c:ptCount val="1"/>
                <c:pt idx="0">
                  <c:v>Χωρητικότητα (ΕΚΜ)</c:v>
                </c:pt>
              </c:strCache>
            </c:strRef>
          </c:tx>
          <c:spPr>
            <a:solidFill>
              <a:srgbClr val="1B3A5C"/>
            </a:solidFill>
            <a:ln>
              <a:prstDash val="solid"/>
            </a:ln>
          </c:spPr>
          <c:invertIfNegative val="1"/>
          <c:cat>
            <c:strRef>
              <c:f>'📋 ΔΕΔΟΜΕΝΑ ΦΡΑΓΜΑΤΩΝ'!$A$15:$A$20</c:f>
              <c:strCache>
                <c:ptCount val="6"/>
                <c:pt idx="0">
                  <c:v>Κούρης</c:v>
                </c:pt>
                <c:pt idx="1">
                  <c:v>Ασπρόκρεμμος</c:v>
                </c:pt>
                <c:pt idx="2">
                  <c:v>Κανναβιού</c:v>
                </c:pt>
                <c:pt idx="3">
                  <c:v>Καλαβασός</c:v>
                </c:pt>
                <c:pt idx="4">
                  <c:v>Διπόταμος</c:v>
                </c:pt>
                <c:pt idx="5">
                  <c:v>Λεύκαρα</c:v>
                </c:pt>
              </c:strCache>
            </c:strRef>
          </c:cat>
          <c:val>
            <c:numRef>
              <c:f>'📋 ΔΕΔΟΜΕΝΑ ΦΡΑΓΜΑΤΩΝ'!$C$15:$C$20</c:f>
              <c:numCache>
                <c:formatCode>General</c:formatCode>
                <c:ptCount val="6"/>
                <c:pt idx="0">
                  <c:v>115</c:v>
                </c:pt>
                <c:pt idx="1">
                  <c:v>52.375</c:v>
                </c:pt>
                <c:pt idx="2">
                  <c:v>17.167999999999999</c:v>
                </c:pt>
                <c:pt idx="3">
                  <c:v>17.100000000000001</c:v>
                </c:pt>
                <c:pt idx="4">
                  <c:v>15.5</c:v>
                </c:pt>
                <c:pt idx="5">
                  <c:v>13.85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329-41BD-B20F-0597B5BA7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l-GR"/>
                  <a:t>Φράγμα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l-GR"/>
                  <a:t>ΕΚΜ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l-GR"/>
              <a:t>Κατανομή Παραγωγής Νερού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'💧 ΠΗΓΕΣ ΥΔΡΕΥΣΗΣ'!$C$17</c:f>
              <c:strCache>
                <c:ptCount val="1"/>
                <c:pt idx="0">
                  <c:v>Παραγωγή (ΚΜ)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F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B91-4F65-9488-F865B83A9F42}"/>
              </c:ext>
            </c:extLst>
          </c:dPt>
          <c:dPt>
            <c:idx val="1"/>
            <c:bubble3D val="0"/>
            <c:spPr>
              <a:solidFill>
                <a:srgbClr val="1B3A5C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B91-4F65-9488-F865B83A9F4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>
                    <a:solidFill>
                      <a:schemeClr val="bg1"/>
                    </a:solidFill>
                  </a:defRPr>
                </a:pPr>
                <a:endParaRPr lang="en-CY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'💧 ΠΗΓΕΣ ΥΔΡΕΥΣΗΣ'!$B$18:$B$19</c:f>
              <c:strCache>
                <c:ptCount val="2"/>
                <c:pt idx="0">
                  <c:v>Αφαλατώσεις</c:v>
                </c:pt>
                <c:pt idx="1">
                  <c:v>Διυλιστήρια</c:v>
                </c:pt>
              </c:strCache>
            </c:strRef>
          </c:cat>
          <c:val>
            <c:numRef>
              <c:f>'💧 ΠΗΓΕΣ ΥΔΡΕΥΣΗΣ'!$C$18:$C$19</c:f>
              <c:numCache>
                <c:formatCode>#,##0</c:formatCode>
                <c:ptCount val="2"/>
                <c:pt idx="0">
                  <c:v>1758637.5</c:v>
                </c:pt>
                <c:pt idx="1">
                  <c:v>706362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91-4F65-9488-F865B83A9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14</xdr:row>
      <xdr:rowOff>76200</xdr:rowOff>
    </xdr:from>
    <xdr:ext cx="57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5C"/>
  </sheetPr>
  <dimension ref="A1:I79"/>
  <sheetViews>
    <sheetView showGridLines="0" tabSelected="1" zoomScale="80" zoomScaleNormal="80" workbookViewId="0">
      <selection activeCell="D8" sqref="D8:E8"/>
    </sheetView>
  </sheetViews>
  <sheetFormatPr defaultRowHeight="15" x14ac:dyDescent="0.25"/>
  <cols>
    <col min="1" max="1" width="2" customWidth="1"/>
    <col min="2" max="2" width="24.140625" customWidth="1"/>
    <col min="3" max="5" width="14" customWidth="1"/>
    <col min="6" max="6" width="28" customWidth="1"/>
    <col min="7" max="8" width="14" customWidth="1"/>
    <col min="9" max="9" width="18.28515625" customWidth="1"/>
    <col min="10" max="10" width="2" customWidth="1"/>
  </cols>
  <sheetData>
    <row r="1" spans="1:9" ht="8.1" customHeight="1" x14ac:dyDescent="0.25"/>
    <row r="2" spans="1:9" ht="48" customHeight="1" x14ac:dyDescent="0.25">
      <c r="A2" s="66" t="s">
        <v>0</v>
      </c>
      <c r="B2" s="59"/>
      <c r="C2" s="59"/>
      <c r="D2" s="59"/>
      <c r="E2" s="59"/>
      <c r="F2" s="59"/>
      <c r="G2" s="59"/>
      <c r="H2" s="59"/>
      <c r="I2" s="59"/>
    </row>
    <row r="3" spans="1:9" ht="21.95" customHeight="1" x14ac:dyDescent="0.25">
      <c r="A3" s="58" t="s">
        <v>67</v>
      </c>
      <c r="B3" s="59"/>
      <c r="C3" s="59"/>
      <c r="D3" s="59"/>
      <c r="E3" s="59"/>
      <c r="F3" s="59"/>
      <c r="G3" s="59"/>
      <c r="H3" s="59"/>
      <c r="I3" s="59"/>
    </row>
    <row r="4" spans="1:9" ht="8.1" customHeight="1" x14ac:dyDescent="0.25"/>
    <row r="5" spans="1:9" ht="14.1" customHeight="1" x14ac:dyDescent="0.25"/>
    <row r="6" spans="1:9" ht="21.95" customHeight="1" x14ac:dyDescent="0.25">
      <c r="B6" s="63" t="s">
        <v>58</v>
      </c>
      <c r="C6" s="64"/>
      <c r="D6" s="63" t="s">
        <v>1</v>
      </c>
      <c r="E6" s="64"/>
      <c r="F6" s="63" t="s">
        <v>57</v>
      </c>
      <c r="G6" s="64"/>
      <c r="H6" s="63" t="s">
        <v>63</v>
      </c>
      <c r="I6" s="64"/>
    </row>
    <row r="7" spans="1:9" ht="38.1" customHeight="1" x14ac:dyDescent="0.25">
      <c r="B7" s="78">
        <f>G20</f>
        <v>0.35326886837870186</v>
      </c>
      <c r="C7" s="59"/>
      <c r="D7" s="73">
        <v>0.11700000000000001</v>
      </c>
      <c r="E7" s="74"/>
      <c r="F7" s="60">
        <f>B7/D7</f>
        <v>3.0193920374248022</v>
      </c>
      <c r="G7" s="61"/>
      <c r="H7" s="75">
        <f>F20</f>
        <v>102.732</v>
      </c>
      <c r="I7" s="59"/>
    </row>
    <row r="8" spans="1:9" ht="9" customHeight="1" x14ac:dyDescent="0.25">
      <c r="B8" s="62"/>
      <c r="C8" s="59"/>
      <c r="D8" s="62"/>
      <c r="E8" s="59"/>
      <c r="F8" s="62"/>
      <c r="G8" s="59"/>
      <c r="H8" s="62"/>
      <c r="I8" s="59"/>
    </row>
    <row r="9" spans="1:9" ht="6.75" customHeight="1" thickBot="1" x14ac:dyDescent="0.3">
      <c r="B9" s="1"/>
      <c r="C9" s="1"/>
      <c r="D9" s="2"/>
      <c r="E9" s="2"/>
      <c r="F9" s="3"/>
      <c r="G9" s="3"/>
      <c r="H9" s="4"/>
      <c r="I9" s="4"/>
    </row>
    <row r="10" spans="1:9" ht="9.9499999999999993" customHeight="1" x14ac:dyDescent="0.25"/>
    <row r="11" spans="1:9" ht="6" customHeight="1" x14ac:dyDescent="0.25"/>
    <row r="12" spans="1:9" ht="24" customHeight="1" x14ac:dyDescent="0.25">
      <c r="B12" s="86" t="s">
        <v>68</v>
      </c>
      <c r="C12" s="59"/>
      <c r="D12" s="59"/>
      <c r="E12" s="59"/>
      <c r="F12" s="59"/>
      <c r="G12" s="59"/>
      <c r="H12" s="59"/>
      <c r="I12" s="59"/>
    </row>
    <row r="13" spans="1:9" ht="27.75" customHeight="1" x14ac:dyDescent="0.25">
      <c r="B13" s="5" t="s">
        <v>2</v>
      </c>
      <c r="C13" s="5" t="s">
        <v>3</v>
      </c>
      <c r="D13" s="5" t="s">
        <v>4</v>
      </c>
      <c r="E13" s="5" t="s">
        <v>5</v>
      </c>
      <c r="F13" s="5" t="s">
        <v>6</v>
      </c>
      <c r="G13" s="5" t="s">
        <v>7</v>
      </c>
      <c r="H13" s="5" t="s">
        <v>8</v>
      </c>
      <c r="I13" s="5" t="s">
        <v>9</v>
      </c>
    </row>
    <row r="14" spans="1:9" ht="20.100000000000001" customHeight="1" x14ac:dyDescent="0.25">
      <c r="B14" s="6" t="s">
        <v>10</v>
      </c>
      <c r="C14" s="7">
        <v>115</v>
      </c>
      <c r="D14" s="7">
        <v>0.107</v>
      </c>
      <c r="E14" s="7">
        <v>0.435</v>
      </c>
      <c r="F14" s="48">
        <v>42.277999999999999</v>
      </c>
      <c r="G14" s="8">
        <f>F14/C14</f>
        <v>0.36763478260869564</v>
      </c>
      <c r="H14" s="9" t="s">
        <v>11</v>
      </c>
      <c r="I14" s="8">
        <f t="shared" ref="I14:I19" si="0">G14</f>
        <v>0.36763478260869564</v>
      </c>
    </row>
    <row r="15" spans="1:9" ht="20.100000000000001" customHeight="1" x14ac:dyDescent="0.25">
      <c r="B15" s="10" t="s">
        <v>12</v>
      </c>
      <c r="C15" s="11">
        <v>52.375</v>
      </c>
      <c r="D15" s="11">
        <v>5.0000000000000001E-3</v>
      </c>
      <c r="E15" s="11">
        <v>0.185</v>
      </c>
      <c r="F15" s="49">
        <v>18.603999999999999</v>
      </c>
      <c r="G15" s="8">
        <f t="shared" ref="G15:G19" si="1">F15/C15</f>
        <v>0.35520763723150356</v>
      </c>
      <c r="H15" s="12" t="s">
        <v>11</v>
      </c>
      <c r="I15" s="8">
        <f t="shared" si="0"/>
        <v>0.35520763723150356</v>
      </c>
    </row>
    <row r="16" spans="1:9" ht="20.100000000000001" customHeight="1" x14ac:dyDescent="0.25">
      <c r="B16" s="6" t="s">
        <v>13</v>
      </c>
      <c r="C16" s="7">
        <v>17.167999999999999</v>
      </c>
      <c r="D16" s="7">
        <v>1.6E-2</v>
      </c>
      <c r="E16" s="7">
        <v>7.6999999999999999E-2</v>
      </c>
      <c r="F16" s="48">
        <v>7.2050000000000001</v>
      </c>
      <c r="G16" s="8">
        <f t="shared" si="1"/>
        <v>0.41967614165890033</v>
      </c>
      <c r="H16" s="12" t="s">
        <v>11</v>
      </c>
      <c r="I16" s="8">
        <f t="shared" si="0"/>
        <v>0.41967614165890033</v>
      </c>
    </row>
    <row r="17" spans="2:9" ht="20.100000000000001" customHeight="1" x14ac:dyDescent="0.25">
      <c r="B17" s="10" t="s">
        <v>14</v>
      </c>
      <c r="C17" s="11">
        <v>17.100000000000001</v>
      </c>
      <c r="D17" s="11">
        <v>5.0000000000000001E-3</v>
      </c>
      <c r="E17" s="11">
        <v>1.4E-2</v>
      </c>
      <c r="F17" s="49">
        <v>3.7069999999999999</v>
      </c>
      <c r="G17" s="8">
        <f t="shared" si="1"/>
        <v>0.21678362573099413</v>
      </c>
      <c r="H17" s="12" t="s">
        <v>15</v>
      </c>
      <c r="I17" s="8">
        <f t="shared" si="0"/>
        <v>0.21678362573099413</v>
      </c>
    </row>
    <row r="18" spans="2:9" ht="20.100000000000001" customHeight="1" x14ac:dyDescent="0.25">
      <c r="B18" s="6" t="s">
        <v>16</v>
      </c>
      <c r="C18" s="7">
        <v>15.5</v>
      </c>
      <c r="D18" s="7">
        <v>0</v>
      </c>
      <c r="E18" s="7">
        <v>0.13500000000000001</v>
      </c>
      <c r="F18" s="48">
        <v>3.85</v>
      </c>
      <c r="G18" s="8">
        <f t="shared" si="1"/>
        <v>0.24838709677419354</v>
      </c>
      <c r="H18" s="9" t="s">
        <v>11</v>
      </c>
      <c r="I18" s="8">
        <f t="shared" si="0"/>
        <v>0.24838709677419354</v>
      </c>
    </row>
    <row r="19" spans="2:9" ht="20.100000000000001" customHeight="1" x14ac:dyDescent="0.25">
      <c r="B19" s="10" t="s">
        <v>17</v>
      </c>
      <c r="C19" s="11">
        <v>13.85</v>
      </c>
      <c r="D19" s="11">
        <v>2E-3</v>
      </c>
      <c r="E19" s="11">
        <v>0</v>
      </c>
      <c r="F19" s="49">
        <v>2.395</v>
      </c>
      <c r="G19" s="8">
        <f t="shared" si="1"/>
        <v>0.17292418772563178</v>
      </c>
      <c r="H19" s="12" t="s">
        <v>15</v>
      </c>
      <c r="I19" s="8">
        <f t="shared" si="0"/>
        <v>0.17292418772563178</v>
      </c>
    </row>
    <row r="20" spans="2:9" ht="21.95" customHeight="1" x14ac:dyDescent="0.25">
      <c r="B20" s="79" t="s">
        <v>18</v>
      </c>
      <c r="C20" s="14">
        <v>290.80399999999997</v>
      </c>
      <c r="D20" s="14">
        <v>0.23899999999999999</v>
      </c>
      <c r="E20" s="14">
        <v>1.0289999999999999</v>
      </c>
      <c r="F20" s="14">
        <v>102.732</v>
      </c>
      <c r="G20" s="15">
        <f>F20/C20</f>
        <v>0.35326886837870186</v>
      </c>
      <c r="H20" s="16"/>
      <c r="I20" s="17"/>
    </row>
    <row r="21" spans="2:9" ht="18" customHeight="1" x14ac:dyDescent="0.25"/>
    <row r="22" spans="2:9" ht="24" customHeight="1" x14ac:dyDescent="0.25">
      <c r="B22" s="65" t="s">
        <v>69</v>
      </c>
      <c r="C22" s="65"/>
      <c r="D22" s="65"/>
      <c r="E22" s="65"/>
      <c r="F22" s="65"/>
    </row>
    <row r="23" spans="2:9" ht="18" customHeight="1" x14ac:dyDescent="0.25">
      <c r="B23" s="68" t="s">
        <v>19</v>
      </c>
      <c r="C23" s="69"/>
      <c r="D23" s="55" t="s">
        <v>20</v>
      </c>
      <c r="E23" s="56"/>
      <c r="F23" s="57"/>
    </row>
    <row r="24" spans="2:9" ht="18" customHeight="1" x14ac:dyDescent="0.25">
      <c r="B24" s="40" t="s">
        <v>21</v>
      </c>
      <c r="C24" s="43">
        <v>206200</v>
      </c>
      <c r="D24" s="81" t="s">
        <v>22</v>
      </c>
      <c r="E24" s="82"/>
      <c r="F24" s="45">
        <f>(388550+387998)/2</f>
        <v>388274</v>
      </c>
    </row>
    <row r="25" spans="2:9" ht="18" customHeight="1" x14ac:dyDescent="0.25">
      <c r="B25" s="41" t="s">
        <v>23</v>
      </c>
      <c r="C25" s="44">
        <v>136683</v>
      </c>
      <c r="D25" s="90" t="s">
        <v>24</v>
      </c>
      <c r="E25" s="91"/>
      <c r="F25" s="44">
        <f>(398028+397054)/2</f>
        <v>397541</v>
      </c>
    </row>
    <row r="26" spans="2:9" ht="18" customHeight="1" x14ac:dyDescent="0.25">
      <c r="B26" s="40" t="s">
        <v>25</v>
      </c>
      <c r="C26" s="43">
        <v>164979</v>
      </c>
      <c r="D26" s="81" t="s">
        <v>26</v>
      </c>
      <c r="E26" s="82"/>
      <c r="F26" s="45">
        <f>(263610+270190)/2</f>
        <v>266900</v>
      </c>
    </row>
    <row r="27" spans="2:9" ht="18" customHeight="1" x14ac:dyDescent="0.25">
      <c r="B27" s="41" t="s">
        <v>27</v>
      </c>
      <c r="C27" s="52">
        <v>153100</v>
      </c>
      <c r="D27" s="90" t="s">
        <v>28</v>
      </c>
      <c r="E27" s="91"/>
      <c r="F27" s="46">
        <f>(357715+357695)/2</f>
        <v>357705</v>
      </c>
    </row>
    <row r="28" spans="2:9" ht="18" customHeight="1" x14ac:dyDescent="0.25">
      <c r="B28" s="42" t="s">
        <v>29</v>
      </c>
      <c r="C28" s="51">
        <v>45400</v>
      </c>
      <c r="D28" s="81" t="s">
        <v>30</v>
      </c>
      <c r="E28" s="82"/>
      <c r="F28" s="45">
        <v>134150</v>
      </c>
    </row>
    <row r="29" spans="2:9" ht="18" customHeight="1" x14ac:dyDescent="0.25">
      <c r="B29" s="20"/>
      <c r="C29" s="20"/>
      <c r="D29" s="90" t="s">
        <v>31</v>
      </c>
      <c r="E29" s="91"/>
      <c r="F29" s="46">
        <f>(84257+84608)/2</f>
        <v>84432.5</v>
      </c>
    </row>
    <row r="30" spans="2:9" ht="18" customHeight="1" x14ac:dyDescent="0.25">
      <c r="B30" s="21"/>
      <c r="C30" s="21"/>
      <c r="D30" s="81" t="s">
        <v>32</v>
      </c>
      <c r="E30" s="82"/>
      <c r="F30" s="45">
        <f>(66084+66024)/2</f>
        <v>66054</v>
      </c>
    </row>
    <row r="31" spans="2:9" ht="18" customHeight="1" x14ac:dyDescent="0.25">
      <c r="B31" s="20"/>
      <c r="C31" s="20"/>
      <c r="D31" s="92" t="s">
        <v>33</v>
      </c>
      <c r="E31" s="93"/>
      <c r="F31" s="46">
        <f>(63093+64069)/2</f>
        <v>63581</v>
      </c>
    </row>
    <row r="32" spans="2:9" ht="21.95" customHeight="1" x14ac:dyDescent="0.25">
      <c r="B32" s="22" t="s">
        <v>34</v>
      </c>
      <c r="C32" s="23">
        <f>SUM(C24:C28)</f>
        <v>706362</v>
      </c>
      <c r="D32" s="53" t="s">
        <v>35</v>
      </c>
      <c r="E32" s="54"/>
      <c r="F32" s="39">
        <f>SUM(F24:F31)</f>
        <v>1758637.5</v>
      </c>
    </row>
    <row r="33" spans="2:9" ht="24" customHeight="1" x14ac:dyDescent="0.25">
      <c r="B33" s="80" t="s">
        <v>36</v>
      </c>
      <c r="C33" s="59"/>
      <c r="D33" s="70">
        <f>C32+F32</f>
        <v>2464999.5</v>
      </c>
      <c r="E33" s="71"/>
      <c r="F33" s="72"/>
    </row>
    <row r="34" spans="2:9" ht="18" customHeight="1" x14ac:dyDescent="0.25"/>
    <row r="35" spans="2:9" ht="24" customHeight="1" x14ac:dyDescent="0.25">
      <c r="B35" s="86" t="s">
        <v>37</v>
      </c>
      <c r="C35" s="59"/>
      <c r="D35" s="59"/>
      <c r="E35" s="59"/>
      <c r="F35" s="59"/>
      <c r="G35" s="59"/>
      <c r="H35" s="59"/>
      <c r="I35" s="59"/>
    </row>
    <row r="36" spans="2:9" ht="15.95" customHeight="1" x14ac:dyDescent="0.25">
      <c r="B36" s="84" t="s">
        <v>38</v>
      </c>
      <c r="C36" s="59"/>
      <c r="D36" s="59"/>
      <c r="E36" s="59"/>
      <c r="F36" s="59"/>
      <c r="G36" s="59"/>
      <c r="H36" s="59"/>
      <c r="I36" s="59"/>
    </row>
    <row r="37" spans="2:9" ht="20.100000000000001" customHeight="1" x14ac:dyDescent="0.25">
      <c r="B37" s="77" t="s">
        <v>70</v>
      </c>
      <c r="C37" s="59"/>
      <c r="D37" s="59"/>
      <c r="E37" s="59"/>
      <c r="F37" s="59"/>
      <c r="G37" s="59"/>
      <c r="H37" s="59"/>
      <c r="I37" s="59"/>
    </row>
    <row r="38" spans="2:9" ht="15.95" customHeight="1" x14ac:dyDescent="0.25">
      <c r="B38" s="76" t="s">
        <v>39</v>
      </c>
      <c r="C38" s="59"/>
      <c r="D38" s="59"/>
      <c r="E38" s="59"/>
      <c r="F38" s="59"/>
      <c r="G38" s="59"/>
      <c r="H38" s="59"/>
      <c r="I38" s="59"/>
    </row>
    <row r="39" spans="2:9" ht="20.100000000000001" customHeight="1" x14ac:dyDescent="0.25">
      <c r="B39" s="67" t="s">
        <v>71</v>
      </c>
      <c r="C39" s="59"/>
      <c r="D39" s="59"/>
      <c r="E39" s="59"/>
      <c r="F39" s="59"/>
      <c r="G39" s="59"/>
      <c r="H39" s="59"/>
      <c r="I39" s="59"/>
    </row>
    <row r="40" spans="2:9" ht="15.95" customHeight="1" x14ac:dyDescent="0.25">
      <c r="B40" s="89" t="s">
        <v>40</v>
      </c>
      <c r="C40" s="59"/>
      <c r="D40" s="59"/>
      <c r="E40" s="59"/>
      <c r="F40" s="59"/>
      <c r="G40" s="59"/>
      <c r="H40" s="59"/>
      <c r="I40" s="59"/>
    </row>
    <row r="41" spans="2:9" ht="20.100000000000001" customHeight="1" x14ac:dyDescent="0.25">
      <c r="B41" s="85" t="s">
        <v>72</v>
      </c>
      <c r="C41" s="59"/>
      <c r="D41" s="59"/>
      <c r="E41" s="59"/>
      <c r="F41" s="59"/>
      <c r="G41" s="59"/>
      <c r="H41" s="59"/>
      <c r="I41" s="59"/>
    </row>
    <row r="42" spans="2:9" ht="15.95" customHeight="1" x14ac:dyDescent="0.25">
      <c r="B42" s="88" t="s">
        <v>41</v>
      </c>
      <c r="C42" s="59"/>
      <c r="D42" s="59"/>
      <c r="E42" s="59"/>
      <c r="F42" s="59"/>
      <c r="G42" s="59"/>
      <c r="H42" s="59"/>
      <c r="I42" s="59"/>
    </row>
    <row r="43" spans="2:9" ht="20.100000000000001" customHeight="1" x14ac:dyDescent="0.25">
      <c r="B43" s="87" t="s">
        <v>73</v>
      </c>
      <c r="C43" s="59"/>
      <c r="D43" s="59"/>
      <c r="E43" s="59"/>
      <c r="F43" s="59"/>
      <c r="G43" s="59"/>
      <c r="H43" s="59"/>
      <c r="I43" s="59"/>
    </row>
    <row r="44" spans="2:9" ht="18" customHeight="1" x14ac:dyDescent="0.25"/>
    <row r="45" spans="2:9" ht="18" customHeight="1" x14ac:dyDescent="0.25">
      <c r="B45" s="83" t="s">
        <v>64</v>
      </c>
      <c r="C45" s="59"/>
      <c r="D45" s="59"/>
      <c r="E45" s="59"/>
      <c r="F45" s="59"/>
      <c r="G45" s="59"/>
      <c r="H45" s="59"/>
      <c r="I45" s="59"/>
    </row>
    <row r="46" spans="2:9" ht="18" customHeight="1" x14ac:dyDescent="0.25"/>
    <row r="47" spans="2:9" ht="18" customHeight="1" x14ac:dyDescent="0.25"/>
    <row r="48" spans="2:9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  <row r="60" ht="18" customHeight="1" x14ac:dyDescent="0.25"/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</sheetData>
  <mergeCells count="40">
    <mergeCell ref="B45:I45"/>
    <mergeCell ref="B36:I36"/>
    <mergeCell ref="H8:I8"/>
    <mergeCell ref="B41:I41"/>
    <mergeCell ref="B35:I35"/>
    <mergeCell ref="B43:I43"/>
    <mergeCell ref="B12:I12"/>
    <mergeCell ref="B42:I42"/>
    <mergeCell ref="B40:I40"/>
    <mergeCell ref="D24:E24"/>
    <mergeCell ref="D25:E25"/>
    <mergeCell ref="D26:E26"/>
    <mergeCell ref="D27:E27"/>
    <mergeCell ref="D28:E28"/>
    <mergeCell ref="D29:E29"/>
    <mergeCell ref="D31:E31"/>
    <mergeCell ref="A2:I2"/>
    <mergeCell ref="H6:I6"/>
    <mergeCell ref="B39:I39"/>
    <mergeCell ref="B23:C23"/>
    <mergeCell ref="B8:C8"/>
    <mergeCell ref="D33:F33"/>
    <mergeCell ref="F8:G8"/>
    <mergeCell ref="D7:E7"/>
    <mergeCell ref="H7:I7"/>
    <mergeCell ref="B38:I38"/>
    <mergeCell ref="B37:I37"/>
    <mergeCell ref="B7:C7"/>
    <mergeCell ref="F6:G6"/>
    <mergeCell ref="B20"/>
    <mergeCell ref="B33:C33"/>
    <mergeCell ref="D30:E30"/>
    <mergeCell ref="D32:E32"/>
    <mergeCell ref="D23:F23"/>
    <mergeCell ref="A3:I3"/>
    <mergeCell ref="F7:G7"/>
    <mergeCell ref="D8:E8"/>
    <mergeCell ref="B6:C6"/>
    <mergeCell ref="D6:E6"/>
    <mergeCell ref="B22:F22"/>
  </mergeCells>
  <conditionalFormatting sqref="G14:G20">
    <cfRule type="cellIs" dxfId="5" priority="15" operator="greaterThanOrEqual">
      <formula>0.5</formula>
    </cfRule>
    <cfRule type="cellIs" dxfId="4" priority="16" operator="between">
      <formula>0.251</formula>
      <formula>0.499</formula>
    </cfRule>
    <cfRule type="cellIs" dxfId="3" priority="17" operator="lessThan">
      <formula>0.25</formula>
    </cfRule>
  </conditionalFormatting>
  <conditionalFormatting sqref="I14:I19">
    <cfRule type="dataBar" priority="1">
      <dataBar>
        <cfvo type="num" val="0"/>
        <cfvo type="num" val="1"/>
        <color theme="3" tint="0.39997558519241921"/>
      </dataBar>
      <extLst>
        <ext xmlns:x14="http://schemas.microsoft.com/office/spreadsheetml/2009/9/main" uri="{B025F937-C7B1-47D3-B67F-A62EFF666E3E}">
          <x14:id>{2F83D8C8-83D2-4762-9B04-008725A5ACF8}</x14:id>
        </ext>
      </extLst>
    </cfRule>
    <cfRule type="cellIs" dxfId="2" priority="5" operator="greaterThanOrEqual">
      <formula>0.5</formula>
    </cfRule>
    <cfRule type="cellIs" dxfId="1" priority="6" operator="between">
      <formula>0.251</formula>
      <formula>0.499</formula>
    </cfRule>
    <cfRule type="cellIs" dxfId="0" priority="7" operator="lessThan">
      <formula>0.25</formula>
    </cfRule>
  </conditionalFormatting>
  <pageMargins left="0.75" right="0.75" top="1" bottom="1" header="0.5" footer="0.5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F83D8C8-83D2-4762-9B04-008725A5ACF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I14:I19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6DA4"/>
  </sheetPr>
  <dimension ref="A1:G20"/>
  <sheetViews>
    <sheetView showGridLines="0" workbookViewId="0">
      <selection activeCell="B35" sqref="B35"/>
    </sheetView>
  </sheetViews>
  <sheetFormatPr defaultRowHeight="15" x14ac:dyDescent="0.25"/>
  <cols>
    <col min="1" max="1" width="3" customWidth="1"/>
    <col min="2" max="2" width="22" customWidth="1"/>
    <col min="3" max="5" width="16" customWidth="1"/>
    <col min="6" max="6" width="18" customWidth="1"/>
    <col min="7" max="7" width="16" customWidth="1"/>
    <col min="8" max="8" width="3" customWidth="1"/>
  </cols>
  <sheetData>
    <row r="1" spans="1:7" ht="20.25" x14ac:dyDescent="0.25">
      <c r="A1" s="95" t="s">
        <v>42</v>
      </c>
      <c r="B1" s="59"/>
      <c r="C1" s="59"/>
      <c r="D1" s="59"/>
      <c r="E1" s="59"/>
      <c r="F1" s="59"/>
      <c r="G1" s="59"/>
    </row>
    <row r="2" spans="1:7" x14ac:dyDescent="0.25">
      <c r="A2" s="94" t="s">
        <v>66</v>
      </c>
      <c r="B2" s="59"/>
      <c r="C2" s="59"/>
      <c r="D2" s="59"/>
      <c r="E2" s="59"/>
      <c r="F2" s="59"/>
      <c r="G2" s="59"/>
    </row>
    <row r="3" spans="1:7" ht="27.95" customHeight="1" x14ac:dyDescent="0.25">
      <c r="A3" s="24" t="s">
        <v>43</v>
      </c>
      <c r="B3" s="24" t="s">
        <v>2</v>
      </c>
      <c r="C3" s="24" t="s">
        <v>44</v>
      </c>
      <c r="D3" s="50" t="s">
        <v>59</v>
      </c>
      <c r="E3" s="50" t="s">
        <v>60</v>
      </c>
      <c r="F3" s="50" t="s">
        <v>61</v>
      </c>
      <c r="G3" s="24" t="s">
        <v>45</v>
      </c>
    </row>
    <row r="4" spans="1:7" ht="20.100000000000001" customHeight="1" x14ac:dyDescent="0.25">
      <c r="A4" s="25">
        <v>1</v>
      </c>
      <c r="B4" s="6" t="s">
        <v>10</v>
      </c>
      <c r="C4" s="7">
        <v>115</v>
      </c>
      <c r="D4" s="7">
        <f>'📊 DASHBOARD'!D14</f>
        <v>0.107</v>
      </c>
      <c r="E4" s="7">
        <f>'📊 DASHBOARD'!E14</f>
        <v>0.435</v>
      </c>
      <c r="F4" s="7">
        <f>'📊 DASHBOARD'!F14</f>
        <v>42.277999999999999</v>
      </c>
      <c r="G4" s="8">
        <f>F4/C4</f>
        <v>0.36763478260869564</v>
      </c>
    </row>
    <row r="5" spans="1:7" ht="20.100000000000001" customHeight="1" x14ac:dyDescent="0.25">
      <c r="A5" s="26">
        <v>2</v>
      </c>
      <c r="B5" s="27" t="s">
        <v>12</v>
      </c>
      <c r="C5" s="28">
        <v>52.375</v>
      </c>
      <c r="D5" s="28">
        <f>'📊 DASHBOARD'!D15</f>
        <v>5.0000000000000001E-3</v>
      </c>
      <c r="E5" s="28">
        <f>'📊 DASHBOARD'!E15</f>
        <v>0.185</v>
      </c>
      <c r="F5" s="28">
        <f>'📊 DASHBOARD'!F15</f>
        <v>18.603999999999999</v>
      </c>
      <c r="G5" s="29">
        <f t="shared" ref="G5:G10" si="0">F5/C5</f>
        <v>0.35520763723150356</v>
      </c>
    </row>
    <row r="6" spans="1:7" ht="20.100000000000001" customHeight="1" x14ac:dyDescent="0.25">
      <c r="A6" s="25">
        <v>3</v>
      </c>
      <c r="B6" s="6" t="s">
        <v>13</v>
      </c>
      <c r="C6" s="7">
        <v>17.167999999999999</v>
      </c>
      <c r="D6" s="7">
        <f>'📊 DASHBOARD'!D16</f>
        <v>1.6E-2</v>
      </c>
      <c r="E6" s="7">
        <f>'📊 DASHBOARD'!E16</f>
        <v>7.6999999999999999E-2</v>
      </c>
      <c r="F6" s="7">
        <f>'📊 DASHBOARD'!F16</f>
        <v>7.2050000000000001</v>
      </c>
      <c r="G6" s="13">
        <f t="shared" si="0"/>
        <v>0.41967614165890033</v>
      </c>
    </row>
    <row r="7" spans="1:7" ht="20.100000000000001" customHeight="1" x14ac:dyDescent="0.25">
      <c r="A7" s="26">
        <v>4</v>
      </c>
      <c r="B7" s="27" t="s">
        <v>14</v>
      </c>
      <c r="C7" s="28">
        <v>17.100000000000001</v>
      </c>
      <c r="D7" s="28">
        <f>'📊 DASHBOARD'!D17</f>
        <v>5.0000000000000001E-3</v>
      </c>
      <c r="E7" s="28">
        <f>'📊 DASHBOARD'!E17</f>
        <v>1.4E-2</v>
      </c>
      <c r="F7" s="28">
        <f>'📊 DASHBOARD'!F17</f>
        <v>3.7069999999999999</v>
      </c>
      <c r="G7" s="30">
        <f t="shared" si="0"/>
        <v>0.21678362573099413</v>
      </c>
    </row>
    <row r="8" spans="1:7" ht="20.100000000000001" customHeight="1" x14ac:dyDescent="0.25">
      <c r="A8" s="25">
        <v>5</v>
      </c>
      <c r="B8" s="6" t="s">
        <v>16</v>
      </c>
      <c r="C8" s="7">
        <v>15.5</v>
      </c>
      <c r="D8" s="7">
        <f>'📊 DASHBOARD'!D18</f>
        <v>0</v>
      </c>
      <c r="E8" s="7">
        <f>'📊 DASHBOARD'!E18</f>
        <v>0.13500000000000001</v>
      </c>
      <c r="F8" s="7">
        <f>'📊 DASHBOARD'!F18</f>
        <v>3.85</v>
      </c>
      <c r="G8" s="8">
        <f t="shared" si="0"/>
        <v>0.24838709677419354</v>
      </c>
    </row>
    <row r="9" spans="1:7" ht="20.100000000000001" customHeight="1" x14ac:dyDescent="0.25">
      <c r="A9" s="26">
        <v>6</v>
      </c>
      <c r="B9" s="27" t="s">
        <v>17</v>
      </c>
      <c r="C9" s="28">
        <v>13.85</v>
      </c>
      <c r="D9" s="28">
        <f>'📊 DASHBOARD'!D19</f>
        <v>2E-3</v>
      </c>
      <c r="E9" s="28">
        <f>'📊 DASHBOARD'!E19</f>
        <v>0</v>
      </c>
      <c r="F9" s="28">
        <f>'📊 DASHBOARD'!F19</f>
        <v>2.395</v>
      </c>
      <c r="G9" s="30">
        <f t="shared" si="0"/>
        <v>0.17292418772563178</v>
      </c>
    </row>
    <row r="10" spans="1:7" ht="21.95" customHeight="1" x14ac:dyDescent="0.25">
      <c r="A10" s="96" t="s">
        <v>62</v>
      </c>
      <c r="B10" s="59"/>
      <c r="C10" s="14">
        <f t="shared" ref="C10" si="1">SUM(C4:C9)</f>
        <v>230.99299999999999</v>
      </c>
      <c r="D10" s="14">
        <f>SUM(D4:D9)</f>
        <v>0.13500000000000001</v>
      </c>
      <c r="E10" s="14">
        <f t="shared" ref="E10:F10" si="2">SUM(E4:E9)</f>
        <v>0.84599999999999997</v>
      </c>
      <c r="F10" s="14">
        <f t="shared" si="2"/>
        <v>78.038999999999987</v>
      </c>
      <c r="G10" s="15">
        <f t="shared" si="0"/>
        <v>0.33784140644954602</v>
      </c>
    </row>
    <row r="11" spans="1:7" ht="9.9499999999999993" customHeight="1" x14ac:dyDescent="0.25"/>
    <row r="14" spans="1:7" x14ac:dyDescent="0.25">
      <c r="A14" t="s">
        <v>46</v>
      </c>
      <c r="B14" t="s">
        <v>47</v>
      </c>
      <c r="C14" t="s">
        <v>48</v>
      </c>
    </row>
    <row r="15" spans="1:7" x14ac:dyDescent="0.25">
      <c r="A15" t="s">
        <v>10</v>
      </c>
      <c r="B15">
        <v>48.154000000000003</v>
      </c>
      <c r="C15">
        <v>115</v>
      </c>
    </row>
    <row r="16" spans="1:7" x14ac:dyDescent="0.25">
      <c r="A16" t="s">
        <v>12</v>
      </c>
      <c r="B16">
        <v>21.88</v>
      </c>
      <c r="C16">
        <v>52.375</v>
      </c>
    </row>
    <row r="17" spans="1:3" x14ac:dyDescent="0.25">
      <c r="A17" t="s">
        <v>13</v>
      </c>
      <c r="B17">
        <v>8.9550000000000001</v>
      </c>
      <c r="C17">
        <v>17.167999999999999</v>
      </c>
    </row>
    <row r="18" spans="1:3" x14ac:dyDescent="0.25">
      <c r="A18" t="s">
        <v>14</v>
      </c>
      <c r="B18">
        <v>4.2130000000000001</v>
      </c>
      <c r="C18">
        <v>17.100000000000001</v>
      </c>
    </row>
    <row r="19" spans="1:3" x14ac:dyDescent="0.25">
      <c r="A19" t="s">
        <v>16</v>
      </c>
      <c r="B19">
        <v>5.8940000000000001</v>
      </c>
      <c r="C19">
        <v>15.5</v>
      </c>
    </row>
    <row r="20" spans="1:3" x14ac:dyDescent="0.25">
      <c r="A20" t="s">
        <v>17</v>
      </c>
      <c r="B20">
        <v>2.5579999999999998</v>
      </c>
      <c r="C20">
        <v>13.85</v>
      </c>
    </row>
  </sheetData>
  <mergeCells count="3">
    <mergeCell ref="A2:G2"/>
    <mergeCell ref="A1:G1"/>
    <mergeCell ref="A10:B10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F19"/>
  <sheetViews>
    <sheetView showGridLines="0" workbookViewId="0">
      <selection activeCell="L18" sqref="L18"/>
    </sheetView>
  </sheetViews>
  <sheetFormatPr defaultRowHeight="15" x14ac:dyDescent="0.25"/>
  <cols>
    <col min="1" max="1" width="3" customWidth="1"/>
    <col min="2" max="2" width="26" customWidth="1"/>
    <col min="3" max="3" width="18" customWidth="1"/>
    <col min="4" max="4" width="4" customWidth="1"/>
    <col min="5" max="5" width="26" customWidth="1"/>
    <col min="6" max="6" width="18" customWidth="1"/>
    <col min="7" max="7" width="3" customWidth="1"/>
  </cols>
  <sheetData>
    <row r="1" spans="1:6" ht="20.25" x14ac:dyDescent="0.25">
      <c r="A1" s="95" t="s">
        <v>65</v>
      </c>
      <c r="B1" s="59"/>
      <c r="C1" s="59"/>
      <c r="D1" s="59"/>
      <c r="E1" s="59"/>
      <c r="F1" s="59"/>
    </row>
    <row r="2" spans="1:6" x14ac:dyDescent="0.25">
      <c r="A2" s="94" t="s">
        <v>49</v>
      </c>
      <c r="B2" s="59"/>
      <c r="C2" s="59"/>
      <c r="D2" s="59"/>
      <c r="E2" s="59"/>
      <c r="F2" s="59"/>
    </row>
    <row r="3" spans="1:6" ht="15.75" x14ac:dyDescent="0.25">
      <c r="B3" s="98" t="s">
        <v>19</v>
      </c>
      <c r="C3" s="59"/>
      <c r="E3" s="100" t="s">
        <v>20</v>
      </c>
      <c r="F3" s="59"/>
    </row>
    <row r="4" spans="1:6" x14ac:dyDescent="0.25">
      <c r="B4" s="31" t="s">
        <v>50</v>
      </c>
      <c r="C4" s="31" t="s">
        <v>51</v>
      </c>
      <c r="E4" s="31" t="s">
        <v>50</v>
      </c>
      <c r="F4" s="31" t="s">
        <v>51</v>
      </c>
    </row>
    <row r="5" spans="1:6" ht="18" customHeight="1" x14ac:dyDescent="0.25">
      <c r="B5" s="18" t="s">
        <v>21</v>
      </c>
      <c r="C5" s="32">
        <f>'📊 DASHBOARD'!C24</f>
        <v>206200</v>
      </c>
      <c r="E5" s="18" t="s">
        <v>22</v>
      </c>
      <c r="F5" s="33">
        <f>'📊 DASHBOARD'!F24</f>
        <v>388274</v>
      </c>
    </row>
    <row r="6" spans="1:6" ht="18" customHeight="1" x14ac:dyDescent="0.25">
      <c r="B6" s="19" t="s">
        <v>23</v>
      </c>
      <c r="C6" s="34">
        <f>'📊 DASHBOARD'!C25</f>
        <v>136683</v>
      </c>
      <c r="E6" s="19" t="s">
        <v>24</v>
      </c>
      <c r="F6" s="35">
        <f>'📊 DASHBOARD'!F25</f>
        <v>397541</v>
      </c>
    </row>
    <row r="7" spans="1:6" ht="18" customHeight="1" x14ac:dyDescent="0.25">
      <c r="B7" s="18" t="s">
        <v>25</v>
      </c>
      <c r="C7" s="32">
        <f>'📊 DASHBOARD'!C26</f>
        <v>164979</v>
      </c>
      <c r="E7" s="18" t="s">
        <v>26</v>
      </c>
      <c r="F7" s="33">
        <f>'📊 DASHBOARD'!F26</f>
        <v>266900</v>
      </c>
    </row>
    <row r="8" spans="1:6" ht="18" customHeight="1" x14ac:dyDescent="0.25">
      <c r="B8" s="19" t="s">
        <v>27</v>
      </c>
      <c r="C8" s="34">
        <f>'📊 DASHBOARD'!C27</f>
        <v>153100</v>
      </c>
      <c r="E8" s="19" t="s">
        <v>28</v>
      </c>
      <c r="F8" s="35">
        <f>'📊 DASHBOARD'!F27</f>
        <v>357705</v>
      </c>
    </row>
    <row r="9" spans="1:6" ht="18" customHeight="1" x14ac:dyDescent="0.25">
      <c r="B9" s="18" t="s">
        <v>29</v>
      </c>
      <c r="C9" s="32">
        <f>'📊 DASHBOARD'!C28</f>
        <v>45400</v>
      </c>
      <c r="E9" s="18" t="s">
        <v>30</v>
      </c>
      <c r="F9" s="33">
        <f>'📊 DASHBOARD'!F28</f>
        <v>134150</v>
      </c>
    </row>
    <row r="10" spans="1:6" ht="18" customHeight="1" x14ac:dyDescent="0.25">
      <c r="E10" s="19" t="s">
        <v>31</v>
      </c>
      <c r="F10" s="35">
        <f>'📊 DASHBOARD'!F29</f>
        <v>84432.5</v>
      </c>
    </row>
    <row r="11" spans="1:6" ht="18" customHeight="1" x14ac:dyDescent="0.25">
      <c r="E11" s="18" t="s">
        <v>32</v>
      </c>
      <c r="F11" s="33">
        <f>'📊 DASHBOARD'!F30</f>
        <v>66054</v>
      </c>
    </row>
    <row r="12" spans="1:6" ht="18" customHeight="1" x14ac:dyDescent="0.25">
      <c r="E12" s="19" t="s">
        <v>33</v>
      </c>
      <c r="F12" s="35">
        <f>'📊 DASHBOARD'!F31</f>
        <v>63581</v>
      </c>
    </row>
    <row r="13" spans="1:6" ht="21.95" customHeight="1" x14ac:dyDescent="0.25">
      <c r="B13" s="22" t="s">
        <v>34</v>
      </c>
      <c r="C13" s="36">
        <f>SUM(C5:C9)</f>
        <v>706362</v>
      </c>
      <c r="E13" s="37" t="s">
        <v>35</v>
      </c>
      <c r="F13" s="38">
        <f>SUM(F5:F12)</f>
        <v>1758637.5</v>
      </c>
    </row>
    <row r="14" spans="1:6" ht="26.1" customHeight="1" x14ac:dyDescent="0.25">
      <c r="B14" s="99" t="s">
        <v>52</v>
      </c>
      <c r="C14" s="59"/>
      <c r="D14" s="97">
        <f>C13+F13</f>
        <v>2464999.5</v>
      </c>
      <c r="E14" s="59"/>
      <c r="F14" s="59"/>
    </row>
    <row r="17" spans="2:3" x14ac:dyDescent="0.25">
      <c r="B17" t="s">
        <v>53</v>
      </c>
      <c r="C17" t="s">
        <v>54</v>
      </c>
    </row>
    <row r="18" spans="2:3" x14ac:dyDescent="0.25">
      <c r="B18" t="s">
        <v>55</v>
      </c>
      <c r="C18" s="47">
        <f>F13</f>
        <v>1758637.5</v>
      </c>
    </row>
    <row r="19" spans="2:3" x14ac:dyDescent="0.25">
      <c r="B19" t="s">
        <v>56</v>
      </c>
      <c r="C19" s="47">
        <f>C13</f>
        <v>706362</v>
      </c>
    </row>
  </sheetData>
  <mergeCells count="6">
    <mergeCell ref="A2:F2"/>
    <mergeCell ref="D14:F14"/>
    <mergeCell ref="B3:C3"/>
    <mergeCell ref="A1:F1"/>
    <mergeCell ref="B14:C14"/>
    <mergeCell ref="E3:F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DASHBOARD</vt:lpstr>
      <vt:lpstr>📋 ΔΕΔΟΜΕΝΑ ΦΡΑΓΜΑΤΩΝ</vt:lpstr>
      <vt:lpstr>💧 ΠΗΓΕΣ ΥΔΡΕΥΣΗΣ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Chrystalla Kazanga</cp:lastModifiedBy>
  <cp:lastPrinted>2026-07-27T08:31:05Z</cp:lastPrinted>
  <dcterms:created xsi:type="dcterms:W3CDTF">2026-06-14T09:28:25Z</dcterms:created>
  <dcterms:modified xsi:type="dcterms:W3CDTF">2026-10-14T08:01:49Z</dcterms:modified>
</cp:coreProperties>
</file>