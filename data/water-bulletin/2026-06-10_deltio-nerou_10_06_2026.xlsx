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frixou\WDD Projects\Δελτίο Νερού\"/>
    </mc:Choice>
  </mc:AlternateContent>
  <xr:revisionPtr revIDLastSave="0" documentId="13_ncr:1_{B286FABA-00AD-4F68-97A7-096F9A48BF3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ΔΕΛΤΙΟ ΝΕΡΟΥ" sheetId="10" r:id="rId1"/>
    <sheet name="Πηγές Ύδρευσης" sheetId="11" r:id="rId2"/>
  </sheets>
  <definedNames>
    <definedName name="_xlchart.v1.0" hidden="1">'Πηγές Ύδρευσης'!$C$4:$C$11</definedName>
    <definedName name="_xlchart.v1.1" hidden="1">'Πηγές Ύδρευσης'!$D$4:$D$11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0" l="1"/>
  <c r="G7" i="10"/>
  <c r="G6" i="10"/>
  <c r="G5" i="10"/>
  <c r="G4" i="10"/>
  <c r="G3" i="10"/>
  <c r="D12" i="11"/>
  <c r="B74" i="11" s="1"/>
  <c r="B9" i="11"/>
  <c r="B73" i="11" s="1"/>
</calcChain>
</file>

<file path=xl/sharedStrings.xml><?xml version="1.0" encoding="utf-8"?>
<sst xmlns="http://schemas.openxmlformats.org/spreadsheetml/2006/main" count="39" uniqueCount="36">
  <si>
    <t>Κούρης</t>
  </si>
  <si>
    <t>Καλαβασός</t>
  </si>
  <si>
    <t>Λεύκαρα</t>
  </si>
  <si>
    <t>Διπόταμος</t>
  </si>
  <si>
    <t>ΕΚΜ</t>
  </si>
  <si>
    <t>Ασπρόκρεμμος</t>
  </si>
  <si>
    <t>Κανναβιού</t>
  </si>
  <si>
    <t>Χωρητικότητα 
(ΕΚΜ)</t>
  </si>
  <si>
    <t>Ποσοστό 
Πληρότητας</t>
  </si>
  <si>
    <t>6 Μεγαλύτερα Φράγματα</t>
  </si>
  <si>
    <t>ΠΑΓΚΥΠΡΙΑ ΣΥΝΟΛΙΚΑ</t>
  </si>
  <si>
    <t xml:space="preserve">Αντοίστιχο Περσινό Ποσοστό </t>
  </si>
  <si>
    <t xml:space="preserve">Σημέρινο Ποσοστό </t>
  </si>
  <si>
    <t>Διυλιστήριο Τερσεφάνου</t>
  </si>
  <si>
    <t>Διυλιστήριο Κόρνου</t>
  </si>
  <si>
    <t>Διυλιστήριο Λεμεσού</t>
  </si>
  <si>
    <t>Διυλιστήριο Ασπρόκρεμμου</t>
  </si>
  <si>
    <t>Διυλιστήριο Κανναβιού</t>
  </si>
  <si>
    <t>Αφαλάτωση Δεκέλειας</t>
  </si>
  <si>
    <t>Αφαλάτωση Βασιλικού</t>
  </si>
  <si>
    <t>Αφαλάτωση Λάρνακας</t>
  </si>
  <si>
    <t>Αφαλάτωση Μονής</t>
  </si>
  <si>
    <t>Αφαλάτωση Κισσόνεργας</t>
  </si>
  <si>
    <t>Αφαλάτωση Λιμάνι Λεμεσού</t>
  </si>
  <si>
    <t>Διυλιστήρια</t>
  </si>
  <si>
    <t>Αφαλατώσεις</t>
  </si>
  <si>
    <t>Αφαλάτωση Πάφου</t>
  </si>
  <si>
    <t>ΚΜ</t>
  </si>
  <si>
    <t>Αφαλάτωση Επισκοπής</t>
  </si>
  <si>
    <t>Σύνολο Διυλιστηρίων</t>
  </si>
  <si>
    <t>Σύνολο Αφαλατώσεων</t>
  </si>
  <si>
    <t>Εισροή Νερού 
1-8/6/2026</t>
  </si>
  <si>
    <t>Εκροή Νερού 
1-8/6/2026</t>
  </si>
  <si>
    <t>Αποθηκευμένη Ποσότητα
8 Ιουνίου 2026</t>
  </si>
  <si>
    <t>Παραγόμενο νερό  από 01/06/2026 - 08/06/2026</t>
  </si>
  <si>
    <t>Παραγόμενο νερό από 01/06/2026 - 08/06/2026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</si>
</sst>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%"/>
    <numFmt numFmtId="167" formatCode="#,##0.0"/>
  </numFmts>
  <fonts count="13">
    <font>
      <sz val="10"/>
      <name val="HellasArial"/>
      <family val="2"/>
    </font>
    <font>
      <sz val="10"/>
      <name val="HellasArial"/>
      <family val="2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0"/>
      <name val="Arial"/>
      <family val="2"/>
      <charset val="16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charset val="161"/>
      <scheme val="minor"/>
    </font>
    <font>
      <b/>
      <sz val="11"/>
      <color rgb="FF9C0006"/>
      <name val="Calibri"/>
      <family val="2"/>
      <charset val="161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6" fontId="2" fillId="7" borderId="10" xfId="1" applyNumberFormat="1" applyFont="1" applyFill="1" applyBorder="1" applyAlignment="1">
      <alignment horizontal="center" vertical="center"/>
    </xf>
    <xf numFmtId="166" fontId="2" fillId="7" borderId="11" xfId="1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9" fillId="7" borderId="2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8" borderId="22" xfId="0" applyFont="1" applyFill="1" applyBorder="1" applyAlignment="1">
      <alignment vertical="center"/>
    </xf>
    <xf numFmtId="0" fontId="11" fillId="8" borderId="23" xfId="0" applyFont="1" applyFill="1" applyBorder="1" applyAlignment="1">
      <alignment vertical="center"/>
    </xf>
    <xf numFmtId="0" fontId="11" fillId="8" borderId="24" xfId="0" applyFont="1" applyFill="1" applyBorder="1" applyAlignment="1">
      <alignment vertical="center"/>
    </xf>
    <xf numFmtId="0" fontId="12" fillId="8" borderId="21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vertical="center" wrapText="1"/>
    </xf>
    <xf numFmtId="3" fontId="10" fillId="9" borderId="7" xfId="0" applyNumberFormat="1" applyFont="1" applyFill="1" applyBorder="1" applyAlignment="1">
      <alignment horizontal="center" vertical="center"/>
    </xf>
    <xf numFmtId="3" fontId="10" fillId="9" borderId="2" xfId="0" applyNumberFormat="1" applyFont="1" applyFill="1" applyBorder="1" applyAlignment="1">
      <alignment horizontal="center" vertical="center"/>
    </xf>
    <xf numFmtId="3" fontId="10" fillId="9" borderId="26" xfId="0" applyNumberFormat="1" applyFont="1" applyFill="1" applyBorder="1" applyAlignment="1">
      <alignment horizontal="center" vertical="center"/>
    </xf>
    <xf numFmtId="3" fontId="12" fillId="9" borderId="4" xfId="0" applyNumberFormat="1" applyFont="1" applyFill="1" applyBorder="1" applyAlignment="1">
      <alignment horizontal="center" vertical="center"/>
    </xf>
    <xf numFmtId="0" fontId="11" fillId="10" borderId="22" xfId="0" applyFont="1" applyFill="1" applyBorder="1" applyAlignment="1">
      <alignment vertical="center"/>
    </xf>
    <xf numFmtId="0" fontId="11" fillId="10" borderId="23" xfId="0" applyFont="1" applyFill="1" applyBorder="1" applyAlignment="1">
      <alignment vertical="center"/>
    </xf>
    <xf numFmtId="0" fontId="10" fillId="10" borderId="23" xfId="0" applyFont="1" applyFill="1" applyBorder="1" applyAlignment="1">
      <alignment vertical="center"/>
    </xf>
    <xf numFmtId="0" fontId="11" fillId="10" borderId="25" xfId="0" applyFont="1" applyFill="1" applyBorder="1" applyAlignment="1">
      <alignment vertical="center"/>
    </xf>
    <xf numFmtId="0" fontId="12" fillId="10" borderId="21" xfId="0" applyFont="1" applyFill="1" applyBorder="1" applyAlignment="1">
      <alignment horizontal="center" vertical="center"/>
    </xf>
    <xf numFmtId="0" fontId="9" fillId="11" borderId="19" xfId="0" applyFont="1" applyFill="1" applyBorder="1" applyAlignment="1">
      <alignment horizontal="center" vertical="center" wrapText="1"/>
    </xf>
    <xf numFmtId="0" fontId="9" fillId="11" borderId="20" xfId="0" applyFont="1" applyFill="1" applyBorder="1" applyAlignment="1">
      <alignment horizontal="center" vertical="center" wrapText="1"/>
    </xf>
    <xf numFmtId="3" fontId="10" fillId="11" borderId="22" xfId="0" applyNumberFormat="1" applyFont="1" applyFill="1" applyBorder="1" applyAlignment="1">
      <alignment horizontal="center" vertical="center"/>
    </xf>
    <xf numFmtId="3" fontId="10" fillId="11" borderId="23" xfId="0" applyNumberFormat="1" applyFont="1" applyFill="1" applyBorder="1" applyAlignment="1">
      <alignment horizontal="center" vertical="center"/>
    </xf>
    <xf numFmtId="3" fontId="10" fillId="11" borderId="24" xfId="0" applyNumberFormat="1" applyFont="1" applyFill="1" applyBorder="1" applyAlignment="1">
      <alignment horizontal="center" vertical="center"/>
    </xf>
    <xf numFmtId="3" fontId="12" fillId="11" borderId="2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7" fillId="5" borderId="19" xfId="2" applyFont="1" applyBorder="1" applyAlignment="1">
      <alignment horizontal="center" vertical="center" wrapText="1"/>
    </xf>
    <xf numFmtId="0" fontId="7" fillId="5" borderId="20" xfId="2" applyFont="1" applyBorder="1" applyAlignment="1">
      <alignment horizontal="center" vertical="center" wrapText="1"/>
    </xf>
    <xf numFmtId="0" fontId="8" fillId="6" borderId="19" xfId="3" applyFont="1" applyBorder="1" applyAlignment="1">
      <alignment horizontal="center" vertical="center" wrapText="1"/>
    </xf>
    <xf numFmtId="0" fontId="8" fillId="6" borderId="20" xfId="3" applyFont="1" applyBorder="1" applyAlignment="1">
      <alignment horizontal="center" vertical="center" wrapText="1"/>
    </xf>
    <xf numFmtId="0" fontId="9" fillId="8" borderId="21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4F4F"/>
      <color rgb="FFFF7C80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600" b="1"/>
              <a:t>Εκροές νερού</a:t>
            </a:r>
            <a:r>
              <a:rPr lang="el-GR" sz="1600" b="1" baseline="0"/>
              <a:t> ανά φράγμα την τελευταία Εβδομάδα</a:t>
            </a:r>
            <a:endParaRPr lang="en-CY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EF-47DC-A21B-984DD9A6D0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70-4431-B43C-013D1C92FA9B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70-4431-B43C-013D1C92FA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70-4431-B43C-013D1C92FA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70-4431-B43C-013D1C92FA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A70-4431-B43C-013D1C92FA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'ΔΕΛΤΙΟ ΝΕΡΟΥ'!$B$3:$B$8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'ΔΕΛΤΙΟ ΝΕΡΟΥ'!$E$3:$E$8</c:f>
              <c:numCache>
                <c:formatCode>0.000</c:formatCode>
                <c:ptCount val="6"/>
                <c:pt idx="0">
                  <c:v>0.26900000000000002</c:v>
                </c:pt>
                <c:pt idx="1">
                  <c:v>0.09</c:v>
                </c:pt>
                <c:pt idx="2">
                  <c:v>0.08</c:v>
                </c:pt>
                <c:pt idx="3">
                  <c:v>2.1999999999999999E-2</c:v>
                </c:pt>
                <c:pt idx="4">
                  <c:v>0.128</c:v>
                </c:pt>
                <c:pt idx="5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F-47DC-A21B-984DD9A6D0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l-GR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Διυλιστήρια </a:t>
            </a: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vs</a:t>
            </a:r>
            <a:r>
              <a:rPr lang="el-GR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Αφαλατώσεις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34-47B8-B583-BD07BDC0B3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34-47B8-B583-BD07BDC0B3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'Πηγές Ύδρευσης'!$A$73:$A$74</c:f>
              <c:strCache>
                <c:ptCount val="2"/>
                <c:pt idx="0">
                  <c:v>Σύνολο Διυλιστηρίων</c:v>
                </c:pt>
                <c:pt idx="1">
                  <c:v>Σύνολο Αφαλατώσεων</c:v>
                </c:pt>
              </c:strCache>
            </c:strRef>
          </c:cat>
          <c:val>
            <c:numRef>
              <c:f>'Πηγές Ύδρευσης'!$B$73:$B$74</c:f>
              <c:numCache>
                <c:formatCode>General</c:formatCode>
                <c:ptCount val="2"/>
                <c:pt idx="0">
                  <c:v>579359</c:v>
                </c:pt>
                <c:pt idx="1">
                  <c:v>1828747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F-434B-92DD-3853E5E8B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l-GR"/>
              <a:t>Παραγωγή</a:t>
            </a:r>
            <a:r>
              <a:rPr lang="el-GR" baseline="0"/>
              <a:t> νερού</a:t>
            </a:r>
            <a:r>
              <a:rPr lang="el-GR"/>
              <a:t> Διυλιστηρίων την  τελευταία Εβδομάδα σε Κ.Μ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'Πηγές Ύδρευσης'!$A$4:$A$8</c:f>
              <c:strCache>
                <c:ptCount val="5"/>
                <c:pt idx="0">
                  <c:v>Διυλιστήριο Τερσεφάνου</c:v>
                </c:pt>
                <c:pt idx="1">
                  <c:v>Διυλιστήριο Κόρνου</c:v>
                </c:pt>
                <c:pt idx="2">
                  <c:v>Διυλιστήριο Λεμεσού</c:v>
                </c:pt>
                <c:pt idx="3">
                  <c:v>Διυλιστήριο Ασπρόκρεμμου</c:v>
                </c:pt>
                <c:pt idx="4">
                  <c:v>Διυλιστήριο Κανναβιού</c:v>
                </c:pt>
              </c:strCache>
            </c:strRef>
          </c:cat>
          <c:val>
            <c:numRef>
              <c:f>'Πηγές Ύδρευσης'!$B$4:$B$8</c:f>
              <c:numCache>
                <c:formatCode>#,##0</c:formatCode>
                <c:ptCount val="5"/>
                <c:pt idx="0">
                  <c:v>178727</c:v>
                </c:pt>
                <c:pt idx="1">
                  <c:v>104890</c:v>
                </c:pt>
                <c:pt idx="2">
                  <c:v>139042</c:v>
                </c:pt>
                <c:pt idx="3">
                  <c:v>114600</c:v>
                </c:pt>
                <c:pt idx="4">
                  <c:v>42100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C-419F-A560-885ECB8D23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26014447"/>
        <c:axId val="1726017327"/>
      </c:barChart>
      <c:catAx>
        <c:axId val="172601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26017327"/>
        <c:crosses val="autoZero"/>
        <c:auto val="1"/>
        <c:lblAlgn val="ctr"/>
        <c:lblOffset val="100"/>
        <c:noMultiLvlLbl val="0"/>
      </c:catAx>
      <c:valAx>
        <c:axId val="172601732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72601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rtl="0"/>
            <a:r>
              <a:rPr lang="el-GR" sz="1600" b="0" i="0" baseline="0">
                <a:effectLst/>
                <a:latin typeface="+mn-lt"/>
              </a:rPr>
              <a:t>Παραγωγή νερού Μονάδων Αφαλάτωσης την τελευταία Εβδομάδα σε Κ.Μ</a:t>
            </a:r>
            <a:endParaRPr lang="en-CY" sz="1200">
              <a:effectLst/>
              <a:latin typeface="+mn-lt"/>
            </a:endParaRPr>
          </a:p>
        </cx:rich>
      </cx:tx>
    </cx:title>
    <cx:plotArea>
      <cx:plotAreaRegion>
        <cx:series layoutId="sunburst" uniqueId="{B35CB683-210F-4613-BEA4-8516CC65B256}">
          <cx:dataPt idx="2">
            <cx:spPr>
              <a:solidFill>
                <a:srgbClr val="FFC000">
                  <a:lumMod val="75000"/>
                </a:srgbClr>
              </a:solidFill>
            </cx:spPr>
          </cx:dataPt>
          <cx:dataPt idx="4">
            <cx:spPr>
              <a:solidFill>
                <a:srgbClr val="70AD47">
                  <a:lumMod val="60000"/>
                  <a:lumOff val="40000"/>
                </a:srgbClr>
              </a:solidFill>
            </cx:spPr>
          </cx:dataPt>
          <cx:dataLabels>
            <cx:visibility seriesName="0" categoryName="0" value="1"/>
            <cx:separator>, </cx:separator>
          </cx:dataLabels>
          <cx:dataId val="0"/>
        </cx:series>
      </cx:plotAreaRegion>
    </cx:plotArea>
    <cx:legend pos="b" align="ctr" overlay="0"/>
  </cx:chart>
  <cx:spPr>
    <a:solidFill>
      <a:schemeClr val="bg2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262423</xdr:colOff>
      <xdr:row>0</xdr:row>
      <xdr:rowOff>58317</xdr:rowOff>
    </xdr:from>
    <xdr:to>
      <xdr:col>14</xdr:col>
      <xdr:colOff>1944</xdr:colOff>
      <xdr:row>15</xdr:row>
      <xdr:rowOff>9719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DC001-7B42-AB27-74ED-E66804D70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10</xdr:col>
      <xdr:colOff>0</xdr:colOff>
      <xdr:row>12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67D1D0A-BDFD-E91B-BCD2-FB0ADE3CB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13</xdr:row>
      <xdr:rowOff>0</xdr:rowOff>
    </xdr:from>
    <xdr:to>
      <xdr:col>2</xdr:col>
      <xdr:colOff>1457325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7457F3-6D61-6098-1489-211818118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1895475</xdr:colOff>
      <xdr:row>12</xdr:row>
      <xdr:rowOff>195261</xdr:rowOff>
    </xdr:from>
    <xdr:to>
      <xdr:col>10</xdr:col>
      <xdr:colOff>9525</xdr:colOff>
      <xdr:row>35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2999ED7-27B6-D4BD-6125-CC7FD698D4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4500" y="2786061"/>
              <a:ext cx="6991350" cy="41386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2"/>
  <sheetViews>
    <sheetView zoomScale="98" zoomScaleNormal="98" workbookViewId="0">
      <selection activeCell="I27" sqref="I27"/>
    </sheetView>
  </sheetViews>
  <sheetFormatPr defaultColWidth="9.28515625" defaultRowHeight="14.25"/>
  <cols>
    <col min="1" max="1" width="3.28515625" style="1" bestFit="1" customWidth="1"/>
    <col min="2" max="2" width="25.42578125" style="1" customWidth="1"/>
    <col min="3" max="3" width="15.28515625" style="5" hidden="1" customWidth="1"/>
    <col min="4" max="7" width="20.7109375" style="5" customWidth="1"/>
    <col min="8" max="8" width="13.42578125" style="1" customWidth="1"/>
    <col min="9" max="9" width="9.42578125" style="1" bestFit="1" customWidth="1"/>
    <col min="10" max="10" width="9.28515625" style="1"/>
    <col min="11" max="11" width="10.85546875" style="1" bestFit="1" customWidth="1"/>
    <col min="12" max="12" width="10" style="1" bestFit="1" customWidth="1"/>
    <col min="13" max="13" width="14.140625" style="1" bestFit="1" customWidth="1"/>
    <col min="14" max="16384" width="9.28515625" style="1"/>
  </cols>
  <sheetData>
    <row r="1" spans="1:9" ht="30" customHeight="1">
      <c r="A1" s="63" t="s">
        <v>9</v>
      </c>
      <c r="B1" s="59"/>
      <c r="C1" s="59" t="s">
        <v>7</v>
      </c>
      <c r="D1" s="66" t="s">
        <v>31</v>
      </c>
      <c r="E1" s="68" t="s">
        <v>32</v>
      </c>
      <c r="F1" s="61" t="s">
        <v>33</v>
      </c>
      <c r="G1" s="62"/>
    </row>
    <row r="2" spans="1:9" ht="30.75" thickBot="1">
      <c r="A2" s="64"/>
      <c r="B2" s="65"/>
      <c r="C2" s="60"/>
      <c r="D2" s="67"/>
      <c r="E2" s="69"/>
      <c r="F2" s="10" t="s">
        <v>4</v>
      </c>
      <c r="G2" s="11" t="s">
        <v>8</v>
      </c>
    </row>
    <row r="3" spans="1:9" ht="20.100000000000001" customHeight="1">
      <c r="A3" s="15">
        <v>1</v>
      </c>
      <c r="B3" s="16" t="s">
        <v>0</v>
      </c>
      <c r="C3" s="17">
        <v>115</v>
      </c>
      <c r="D3" s="27">
        <v>0.39200000000000002</v>
      </c>
      <c r="E3" s="27">
        <v>0.26900000000000002</v>
      </c>
      <c r="F3" s="18">
        <v>48.154000000000003</v>
      </c>
      <c r="G3" s="23">
        <f t="shared" ref="G3:G8" si="0">F3/C3</f>
        <v>0.41873043478260874</v>
      </c>
      <c r="I3" s="2"/>
    </row>
    <row r="4" spans="1:9" ht="20.100000000000001" customHeight="1">
      <c r="A4" s="19">
        <v>2</v>
      </c>
      <c r="B4" s="20" t="s">
        <v>5</v>
      </c>
      <c r="C4" s="21">
        <v>52.375</v>
      </c>
      <c r="D4" s="28">
        <v>3.6999999999999998E-2</v>
      </c>
      <c r="E4" s="28">
        <v>0.09</v>
      </c>
      <c r="F4" s="22">
        <v>21.88</v>
      </c>
      <c r="G4" s="24">
        <f t="shared" si="0"/>
        <v>0.41775656324582339</v>
      </c>
      <c r="I4" s="2"/>
    </row>
    <row r="5" spans="1:9" ht="20.100000000000001" customHeight="1">
      <c r="A5" s="19">
        <v>3</v>
      </c>
      <c r="B5" s="20" t="s">
        <v>6</v>
      </c>
      <c r="C5" s="21">
        <v>17.167999999999999</v>
      </c>
      <c r="D5" s="28">
        <v>8.2000000000000003E-2</v>
      </c>
      <c r="E5" s="28">
        <v>0.08</v>
      </c>
      <c r="F5" s="22">
        <v>8.9550000000000001</v>
      </c>
      <c r="G5" s="24">
        <f t="shared" si="0"/>
        <v>0.52160997204100656</v>
      </c>
      <c r="I5" s="2"/>
    </row>
    <row r="6" spans="1:9" ht="20.100000000000001" customHeight="1">
      <c r="A6" s="19">
        <v>4</v>
      </c>
      <c r="B6" s="20" t="s">
        <v>1</v>
      </c>
      <c r="C6" s="21">
        <v>17.100000000000001</v>
      </c>
      <c r="D6" s="28">
        <v>3.4000000000000002E-2</v>
      </c>
      <c r="E6" s="28">
        <v>2.1999999999999999E-2</v>
      </c>
      <c r="F6" s="22">
        <v>4.2130000000000001</v>
      </c>
      <c r="G6" s="24">
        <f t="shared" si="0"/>
        <v>0.24637426900584794</v>
      </c>
      <c r="I6" s="2"/>
    </row>
    <row r="7" spans="1:9" ht="20.100000000000001" customHeight="1">
      <c r="A7" s="19">
        <v>5</v>
      </c>
      <c r="B7" s="20" t="s">
        <v>3</v>
      </c>
      <c r="C7" s="21">
        <v>15.5</v>
      </c>
      <c r="D7" s="28">
        <v>2.5000000000000001E-2</v>
      </c>
      <c r="E7" s="28">
        <v>0.128</v>
      </c>
      <c r="F7" s="22">
        <v>5.8940000000000001</v>
      </c>
      <c r="G7" s="24">
        <f t="shared" si="0"/>
        <v>0.38025806451612904</v>
      </c>
      <c r="I7" s="2"/>
    </row>
    <row r="8" spans="1:9" ht="20.100000000000001" customHeight="1" thickBot="1">
      <c r="A8" s="19">
        <v>6</v>
      </c>
      <c r="B8" s="20" t="s">
        <v>2</v>
      </c>
      <c r="C8" s="21">
        <v>13.85</v>
      </c>
      <c r="D8" s="28">
        <v>8.0000000000000002E-3</v>
      </c>
      <c r="E8" s="28">
        <v>4.0000000000000001E-3</v>
      </c>
      <c r="F8" s="22">
        <v>2.5579999999999998</v>
      </c>
      <c r="G8" s="24">
        <f t="shared" si="0"/>
        <v>0.18469314079422383</v>
      </c>
      <c r="I8" s="2"/>
    </row>
    <row r="9" spans="1:9" ht="8.1" customHeight="1" thickBot="1">
      <c r="A9" s="12"/>
      <c r="B9" s="13"/>
      <c r="C9" s="6"/>
      <c r="D9" s="7"/>
      <c r="E9" s="7"/>
      <c r="F9" s="8"/>
      <c r="G9" s="9"/>
      <c r="I9" s="2"/>
    </row>
    <row r="10" spans="1:9" ht="34.5" customHeight="1" thickBot="1">
      <c r="A10" s="57" t="s">
        <v>10</v>
      </c>
      <c r="B10" s="58"/>
      <c r="C10" s="14">
        <v>290.80400000000003</v>
      </c>
      <c r="D10" s="25">
        <v>1.0649999999999999</v>
      </c>
      <c r="E10" s="26">
        <v>0.94199999999999995</v>
      </c>
      <c r="F10" s="31" t="s">
        <v>12</v>
      </c>
      <c r="G10" s="29">
        <v>0.42399999999999999</v>
      </c>
    </row>
    <row r="11" spans="1:9" ht="30" customHeight="1" thickBot="1">
      <c r="F11" s="31" t="s">
        <v>11</v>
      </c>
      <c r="G11" s="29">
        <v>0.21</v>
      </c>
    </row>
    <row r="18" spans="2:4">
      <c r="C18" s="4"/>
    </row>
    <row r="20" spans="2:4">
      <c r="B20" s="3"/>
    </row>
    <row r="22" spans="2:4" ht="15">
      <c r="D22" s="30"/>
    </row>
  </sheetData>
  <mergeCells count="6">
    <mergeCell ref="A10:B10"/>
    <mergeCell ref="C1:C2"/>
    <mergeCell ref="F1:G1"/>
    <mergeCell ref="A1:B2"/>
    <mergeCell ref="D1:D2"/>
    <mergeCell ref="E1:E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E481-84B0-432D-A402-BB5538BC0F40}">
  <sheetPr>
    <pageSetUpPr fitToPage="1"/>
  </sheetPr>
  <dimension ref="A1:G74"/>
  <sheetViews>
    <sheetView tabSelected="1" zoomScaleNormal="100" workbookViewId="0">
      <selection activeCell="L7" sqref="L7"/>
    </sheetView>
  </sheetViews>
  <sheetFormatPr defaultRowHeight="14.25"/>
  <cols>
    <col min="1" max="1" width="26.5703125" style="34" bestFit="1" customWidth="1"/>
    <col min="2" max="2" width="27.85546875" style="34" customWidth="1"/>
    <col min="3" max="3" width="30" style="34" customWidth="1"/>
    <col min="4" max="4" width="29.42578125" style="34" customWidth="1"/>
    <col min="5" max="6" width="9.140625" style="34"/>
    <col min="7" max="7" width="28" style="34" bestFit="1" customWidth="1"/>
    <col min="8" max="16384" width="9.140625" style="34"/>
  </cols>
  <sheetData>
    <row r="1" spans="1:7" ht="15.95" customHeight="1" thickBot="1"/>
    <row r="2" spans="1:7" s="35" customFormat="1" ht="30.75" thickBot="1">
      <c r="A2" s="70" t="s">
        <v>24</v>
      </c>
      <c r="B2" s="40" t="s">
        <v>34</v>
      </c>
      <c r="C2" s="71" t="s">
        <v>25</v>
      </c>
      <c r="D2" s="51" t="s">
        <v>35</v>
      </c>
    </row>
    <row r="3" spans="1:7" s="35" customFormat="1" ht="15.75" thickBot="1">
      <c r="A3" s="70"/>
      <c r="B3" s="41" t="s">
        <v>27</v>
      </c>
      <c r="C3" s="72"/>
      <c r="D3" s="52" t="s">
        <v>27</v>
      </c>
    </row>
    <row r="4" spans="1:7" ht="15.95" customHeight="1">
      <c r="A4" s="36" t="s">
        <v>13</v>
      </c>
      <c r="B4" s="42">
        <v>178727</v>
      </c>
      <c r="C4" s="46" t="s">
        <v>18</v>
      </c>
      <c r="D4" s="53">
        <v>384435</v>
      </c>
    </row>
    <row r="5" spans="1:7" ht="15.95" customHeight="1">
      <c r="A5" s="37" t="s">
        <v>14</v>
      </c>
      <c r="B5" s="43">
        <v>104890</v>
      </c>
      <c r="C5" s="47" t="s">
        <v>19</v>
      </c>
      <c r="D5" s="54">
        <v>406410</v>
      </c>
      <c r="G5" s="32"/>
    </row>
    <row r="6" spans="1:7" ht="15.75" customHeight="1">
      <c r="A6" s="37" t="s">
        <v>15</v>
      </c>
      <c r="B6" s="43">
        <v>139042</v>
      </c>
      <c r="C6" s="47" t="s">
        <v>28</v>
      </c>
      <c r="D6" s="54">
        <v>270552</v>
      </c>
    </row>
    <row r="7" spans="1:7" ht="15.95" customHeight="1">
      <c r="A7" s="37" t="s">
        <v>16</v>
      </c>
      <c r="B7" s="43">
        <v>114600</v>
      </c>
      <c r="C7" s="47" t="s">
        <v>20</v>
      </c>
      <c r="D7" s="54">
        <v>377337</v>
      </c>
      <c r="G7" s="32"/>
    </row>
    <row r="8" spans="1:7" ht="15.95" customHeight="1" thickBot="1">
      <c r="A8" s="38" t="s">
        <v>17</v>
      </c>
      <c r="B8" s="44">
        <v>42100</v>
      </c>
      <c r="C8" s="48" t="s">
        <v>26</v>
      </c>
      <c r="D8" s="54">
        <v>142932</v>
      </c>
    </row>
    <row r="9" spans="1:7" ht="15.95" customHeight="1" thickBot="1">
      <c r="A9" s="39" t="s">
        <v>29</v>
      </c>
      <c r="B9" s="45">
        <f>B4+B5+B6+B7+B8</f>
        <v>579359</v>
      </c>
      <c r="C9" s="47" t="s">
        <v>21</v>
      </c>
      <c r="D9" s="54">
        <v>94456</v>
      </c>
      <c r="G9" s="32"/>
    </row>
    <row r="10" spans="1:7" ht="15.95" customHeight="1">
      <c r="C10" s="47" t="s">
        <v>22</v>
      </c>
      <c r="D10" s="54">
        <v>82499</v>
      </c>
    </row>
    <row r="11" spans="1:7" ht="15.95" customHeight="1" thickBot="1">
      <c r="C11" s="49" t="s">
        <v>23</v>
      </c>
      <c r="D11" s="55">
        <v>70126</v>
      </c>
      <c r="G11" s="32"/>
    </row>
    <row r="12" spans="1:7" s="33" customFormat="1" ht="15.95" customHeight="1" thickBot="1">
      <c r="C12" s="50" t="s">
        <v>30</v>
      </c>
      <c r="D12" s="56">
        <f>D4+D5+D6+D7+D8+D9+D10+D11</f>
        <v>1828747</v>
      </c>
    </row>
    <row r="13" spans="1:7" ht="15.95" customHeight="1">
      <c r="G13" s="32"/>
    </row>
    <row r="14" spans="1:7" ht="15.95" customHeight="1"/>
    <row r="15" spans="1:7" ht="15.95" customHeight="1">
      <c r="G15" s="32"/>
    </row>
    <row r="16" spans="1:7" ht="15.95" customHeight="1"/>
    <row r="17" ht="15.95" customHeight="1"/>
    <row r="18" ht="15.95" customHeight="1"/>
    <row r="19" ht="15.95" customHeight="1"/>
    <row r="20" ht="15.95" customHeight="1"/>
    <row r="21" ht="15.95" customHeight="1"/>
    <row r="72" spans="1:2" ht="15" thickBot="1"/>
    <row r="73" spans="1:2" ht="16.5" thickBot="1">
      <c r="A73" s="39" t="s">
        <v>29</v>
      </c>
      <c r="B73" s="39">
        <f>B9</f>
        <v>579359</v>
      </c>
    </row>
    <row r="74" spans="1:2" ht="16.5" thickBot="1">
      <c r="A74" s="50" t="s">
        <v>30</v>
      </c>
      <c r="B74" s="50">
        <f>D12</f>
        <v>1828747</v>
      </c>
    </row>
  </sheetData>
  <mergeCells count="2">
    <mergeCell ref="A2:A3"/>
    <mergeCell ref="C2:C3"/>
  </mergeCells>
  <pageMargins left="0.7" right="0.7" top="0.75" bottom="0.75" header="0.3" footer="0.3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ΔΕΛΤΙΟ ΝΕΡΟΥ</vt:lpstr>
      <vt:lpstr>Πηγές Ύδρευσης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Frixos Frixou</cp:lastModifiedBy>
  <cp:lastPrinted>2026-06-08T09:58:03Z</cp:lastPrinted>
  <dcterms:created xsi:type="dcterms:W3CDTF">2019-12-27T07:37:40Z</dcterms:created>
  <dcterms:modified xsi:type="dcterms:W3CDTF">2026-06-10T09:04:24Z</dcterms:modified>
</cp:coreProperties>
</file>