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8E14052A-74B6-4476-8290-FF9195C340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0" l="1"/>
  <c r="D10" i="10"/>
  <c r="E8" i="10"/>
  <c r="E7" i="10"/>
  <c r="E6" i="10"/>
  <c r="E5" i="10"/>
  <c r="E4" i="10"/>
  <c r="E3" i="10"/>
  <c r="D8" i="10"/>
  <c r="D7" i="10"/>
  <c r="D6" i="10"/>
  <c r="D5" i="10"/>
  <c r="D4" i="10"/>
  <c r="D3" i="10"/>
  <c r="G3" i="10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<sst xmlns="http://schemas.openxmlformats.org/spreadsheetml/2006/main" count="16" uniqueCount="16">
  <si>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</si>
  <si>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</si>
  <si>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</si>
  <si>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</si>
  <si>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</si>
  <si>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</si>
  <si>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</si>
  <si>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</si>
  <si>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</si>
  <si>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</si>
  <si>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</si>
  <si>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</si>
  <si>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</si>
  <si>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30/3-6/4/2026</t>
  </si>
  <si>
    <t>Εκροή Νερού 
30/3-6/4/2026</t>
  </si>
  <si>
    <t>Αποθηκευμένη Ποσότητα
6 Απριλίου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</si>
</sst>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f>0.348+1.57</f>
        <v>1.9180000000000001</v>
      </c>
      <c r="E3" s="27">
        <f>0.048+0.116</f>
        <v>0.16400000000000001</v>
      </c>
      <c r="F3" s="18">
        <v>36.213000000000001</v>
      </c>
      <c r="G3" s="23">
        <f t="shared" ref="G3:G8" si="0">F3/C3</f>
        <v>0.31489565217391308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f>0.301+0.904</f>
        <v>1.2050000000000001</v>
      </c>
      <c r="E4" s="28">
        <f>0.21+0.031</f>
        <v>0.24099999999999999</v>
      </c>
      <c r="F4" s="22">
        <v>18.856999999999999</v>
      </c>
      <c r="G4" s="24">
        <f t="shared" si="0"/>
        <v>0.36003818615751787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f>0.162+0.321</f>
        <v>0.48299999999999998</v>
      </c>
      <c r="E5" s="28">
        <f>0.018+0.046</f>
        <v>6.4000000000000001E-2</v>
      </c>
      <c r="F5" s="22">
        <v>7.9290000000000003</v>
      </c>
      <c r="G5" s="24">
        <f t="shared" si="0"/>
        <v>0.46184762348555458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f>0.085+0.466</f>
        <v>0.55100000000000005</v>
      </c>
      <c r="E6" s="28">
        <f>0.004+0.009</f>
        <v>1.2999999999999999E-2</v>
      </c>
      <c r="F6" s="22">
        <v>2.4180000000000001</v>
      </c>
      <c r="G6" s="24">
        <f t="shared" si="0"/>
        <v>0.14140350877192981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f>0.061+0.411</f>
        <v>0.47199999999999998</v>
      </c>
      <c r="E7" s="28">
        <f>0.024+0.06</f>
        <v>8.3999999999999991E-2</v>
      </c>
      <c r="F7" s="22">
        <v>4.8689999999999998</v>
      </c>
      <c r="G7" s="24">
        <f t="shared" si="0"/>
        <v>0.31412903225806449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f>0.033+0.24</f>
        <v>0.27300000000000002</v>
      </c>
      <c r="E8" s="28">
        <f>0.002+0.004</f>
        <v>6.0000000000000001E-3</v>
      </c>
      <c r="F8" s="22">
        <v>2.161</v>
      </c>
      <c r="G8" s="24">
        <f t="shared" si="0"/>
        <v>0.156028880866426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f>1.801+6.472</f>
        <v>8.2729999999999997</v>
      </c>
      <c r="E10" s="26">
        <f>0.129+0.296</f>
        <v>0.42499999999999999</v>
      </c>
      <c r="F10" s="31" t="s">
        <v>12</v>
      </c>
      <c r="G10" s="29">
        <v>0.33900000000000002</v>
      </c>
    </row>
    <row r="11" spans="1:9" ht="30" customHeight="1" thickBot="1" x14ac:dyDescent="0.25">
      <c r="F11" s="31" t="s">
        <v>11</v>
      </c>
      <c r="G11" s="29">
        <v>0.24099999999999999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2026-04-06T09:58:43Z</dcterms:modified>
</cp:coreProperties>
</file>