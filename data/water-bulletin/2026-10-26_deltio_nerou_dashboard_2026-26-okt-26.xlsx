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ΔΕΛΤΙΟ ΝΕΡΟΥ\"/>
    </mc:Choice>
  </mc:AlternateContent>
  <xr:revisionPtr revIDLastSave="0" documentId="8_{503F3484-A92C-4669-BA93-8D5CBCB79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7" i="1"/>
  <c r="F26" i="1"/>
  <c r="F24" i="1"/>
  <c r="F25" i="1"/>
  <c r="H7" i="1" l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F7" i="1" s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<sst xmlns="http://schemas.openxmlformats.org/spreadsheetml/2006/main" count="110" uniqueCount="74">
  <si>
    <t>💧 ΔΕΛΤΙΟ ΝΕΡΟΥ  |  ΚΥΠΡΟΣ</t>
  </si>
  <si>
    <t>📅 ΠΕΡΣΙ
ΤΗΝ ΙΔΙΑ ΕΒΔΟΜΑΔΑ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</si>
  <si>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</si>
  <si>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</si>
  <si>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</si>
  <si>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</si>
  <si>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</si>
  <si>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</si>
  <si>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</si>
  <si>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</si>
  <si>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</si>
  <si>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</si>
  <si>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</si>
  <si>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</si>
  <si>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Καλαβασός</t>
  </si>
  <si>
    <t>🔴 Χαμηλή</t>
  </si>
  <si>
    <t>Διπόταμος</t>
  </si>
  <si>
    <t>Λεύκαρα</t>
  </si>
  <si>
    <t>ΠΑΓΚΥΠΡΙΑ ΣΥΝΟΛΑ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</si>
  <si>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</si>
  <si>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</si>
  <si>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</si>
  <si>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</si>
  <si>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</si>
  <si>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</si>
  <si>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</si>
  <si>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</si>
  <si>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</si>
  <si>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</si>
  <si>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</si>
  <si>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</si>
  <si>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</si>
  <si>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</si>
  <si>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</si>
  <si>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</si>
  <si>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</si>
  <si>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</si>
  <si>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</si>
  <si>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</si>
  <si>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🏆  ΚΑΝΝΑΒΙΟΥ – ΠΡΩΤΟ ΣΕ ΠΛΗΡΟΤΗΤΑ</t>
  </si>
  <si>
    <t xml:space="preserve"> ⚠️  ΛΕΥΚΑΡΑ – ΧΑΜΗΛΗ ΑΠΟΘΕΣΗ</t>
  </si>
  <si>
    <t xml:space="preserve"> 🌊  ΑΦΑΛΑΤΩΣΕΙΣ – ΚΥΡΙΑ ΠΗΓΗ ΝΕΡΟΥ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</si>
  <si>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</si>
  <si>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</si>
  <si>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</si>
  <si>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</si>
  <si>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</si>
  <si>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</si>
  <si>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</si>
  <si>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</si>
  <si>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</si>
  <si>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</si>
  <si>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</si>
  <si>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</si>
  <si>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</si>
  <si>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</si>
  <si>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</si>
  <si>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</si>
  <si>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</si>
  <si>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</si>
  <si>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</si>
  <si>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</si>
  <si>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ΣΥΝΟΛΟ</t>
  </si>
  <si>
    <t>💦 ΑΠΟΘΗΚΕΥΜΕΝΟ
ΝΕΡΟ ΕΚΜ</t>
  </si>
  <si>
    <t>Πηγή: Τμήμα Αναπτύξεως Υδάτων (ΤΑΥ) – Κυπριακή Δημοκρατία  |  Αναφορά: Ιούλιος 2026</t>
  </si>
  <si>
    <t>ΠΑΡΑΓΩΓΗ ΠΟΣΙΜΟΥ ΝΕΡΟΥ  |  20 –27 Ιουλίου 2026</t>
  </si>
  <si>
    <t>Αποθηκευμένη Ποσότητα &amp; Κινήσεις  |  27 Ιουλίου 2026</t>
  </si>
  <si>
    <t xml:space="preserve">     Το φράγμα Λεύκαρα παραμένει στο 17.3% – η χαμηλότερη πληρότητα μεταξύ των 6 μεγαλύτερων φραγμάτων.</t>
  </si>
  <si>
    <t>Εβδομαδιαία Έκθεση Υδάτινης Κατάστασης  • 19 Οκτωβρίου 2026  – 26 Οκτωβρίου 2026</t>
  </si>
  <si>
    <t xml:space="preserve">  🏗️  ΚΑΤΑΣΤΑΣΗ ΦΡΑΓΜΑΤΩΝ  –  26 ΟΚκτωβρίου 2026</t>
  </si>
  <si>
    <t xml:space="preserve">  🏭  ΠΑΡΑΓΩΓΗ ΠΟΣΙΜΟΥ ΝΕΡΟΥ  –  19 Οκτωβρίου 2026  – 26 Οκτωβρίου 2026</t>
  </si>
  <si>
    <t xml:space="preserve">     Το φράγμα Κανναβιού υπερβαίνει το 41,4%, αποτελώντας το πληρέστερο μεγάλο φράγμα της Κύπρου.</t>
  </si>
  <si>
    <t xml:space="preserve">     Τα φράγματα της Κύπρου βρίσκονται στο 35% – Αύξηση 322% σε σχέση με την ίδια εβδομάδα του 2025 (10.9%).</t>
  </si>
  <si>
    <t xml:space="preserve">     Οι αφαλατώσεις παρέχουν το 69,6% (2,220, εκ. ΚΜ) της συνολικής παραγωγής πόσιμου νερού της εβδομάδας.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</si>
</sst>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/>
    </xf>
    <xf numFmtId="3" fontId="30" fillId="9" borderId="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3" fontId="12" fillId="5" borderId="22" xfId="0" applyNumberFormat="1" applyFont="1" applyFill="1" applyBorder="1" applyAlignment="1">
      <alignment horizontal="center" vertical="center"/>
    </xf>
    <xf numFmtId="3" fontId="12" fillId="7" borderId="22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7" borderId="29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4" fillId="5" borderId="23" xfId="0" applyNumberFormat="1" applyFont="1" applyFill="1" applyBorder="1" applyAlignment="1">
      <alignment horizontal="center" vertical="center"/>
    </xf>
    <xf numFmtId="3" fontId="36" fillId="7" borderId="22" xfId="0" applyNumberFormat="1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0" fillId="0" borderId="0" xfId="0"/>
    <xf numFmtId="0" fontId="21" fillId="4" borderId="1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22" fillId="4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2" fillId="5" borderId="12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 vertical="center"/>
    </xf>
    <xf numFmtId="0" fontId="0" fillId="0" borderId="21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9" fontId="7" fillId="4" borderId="0" xfId="1" applyFont="1" applyFill="1" applyAlignment="1">
      <alignment horizontal="center" vertical="center"/>
    </xf>
    <xf numFmtId="9" fontId="0" fillId="0" borderId="0" xfId="1" applyFont="1"/>
    <xf numFmtId="0" fontId="9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ΦΡΑΓΜΑΤΩΝ'!$B$14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ΦΡΑΓΜΑΤΩΝ'!$B$15:$B$20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ΦΡΑΓΜΑΤΩΝ'!$C$14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ΦΡΑΓΜΑΤΩΝ'!$C$15:$C$20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1546148.5</c:v>
                </c:pt>
                <c:pt idx="1">
                  <c:v>674014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topLeftCell="A4" zoomScale="110" zoomScaleNormal="110" workbookViewId="0">
      <selection activeCell="B44" sqref="B44"/>
    </sheetView>
  </sheetViews>
  <sheetFormatPr defaultRowHeight="15" x14ac:dyDescent="0.25"/>
  <cols>
    <col min="1" max="1" width="2" customWidth="1"/>
    <col min="2" max="2" width="24.140625" customWidth="1"/>
    <col min="3" max="5" width="14" customWidth="1"/>
    <col min="6" max="6" width="28" customWidth="1"/>
    <col min="7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8" t="s">
        <v>0</v>
      </c>
      <c r="B2" s="54"/>
      <c r="C2" s="54"/>
      <c r="D2" s="54"/>
      <c r="E2" s="54"/>
      <c r="F2" s="54"/>
      <c r="G2" s="54"/>
      <c r="H2" s="54"/>
      <c r="I2" s="54"/>
    </row>
    <row r="3" spans="1:9" ht="21.95" customHeight="1" x14ac:dyDescent="0.25">
      <c r="A3" s="90" t="s">
        <v>68</v>
      </c>
      <c r="B3" s="54"/>
      <c r="C3" s="54"/>
      <c r="D3" s="54"/>
      <c r="E3" s="54"/>
      <c r="F3" s="54"/>
      <c r="G3" s="54"/>
      <c r="H3" s="54"/>
      <c r="I3" s="54"/>
    </row>
    <row r="4" spans="1:9" ht="8.1" customHeight="1" x14ac:dyDescent="0.25"/>
    <row r="5" spans="1:9" ht="14.1" customHeight="1" x14ac:dyDescent="0.25"/>
    <row r="6" spans="1:9" ht="21.95" customHeight="1" x14ac:dyDescent="0.25">
      <c r="B6" s="69" t="s">
        <v>58</v>
      </c>
      <c r="C6" s="70"/>
      <c r="D6" s="69" t="s">
        <v>1</v>
      </c>
      <c r="E6" s="70"/>
      <c r="F6" s="69" t="s">
        <v>57</v>
      </c>
      <c r="G6" s="70"/>
      <c r="H6" s="69" t="s">
        <v>63</v>
      </c>
      <c r="I6" s="70"/>
    </row>
    <row r="7" spans="1:9" ht="38.1" customHeight="1" x14ac:dyDescent="0.25">
      <c r="B7" s="82">
        <f>G20</f>
        <v>0.35048348715973648</v>
      </c>
      <c r="C7" s="54"/>
      <c r="D7" s="77">
        <v>0.109</v>
      </c>
      <c r="E7" s="78"/>
      <c r="F7" s="91">
        <f>B7/D7</f>
        <v>3.2154448363278578</v>
      </c>
      <c r="G7" s="92"/>
      <c r="H7" s="79">
        <f>F20</f>
        <v>101.922</v>
      </c>
      <c r="I7" s="54"/>
    </row>
    <row r="8" spans="1:9" ht="9" customHeight="1" x14ac:dyDescent="0.25">
      <c r="B8" s="56"/>
      <c r="C8" s="54"/>
      <c r="D8" s="56"/>
      <c r="E8" s="54"/>
      <c r="F8" s="56"/>
      <c r="G8" s="54"/>
      <c r="H8" s="56"/>
      <c r="I8" s="54"/>
    </row>
    <row r="9" spans="1:9" ht="6.7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58" t="s">
        <v>69</v>
      </c>
      <c r="C12" s="54"/>
      <c r="D12" s="54"/>
      <c r="E12" s="54"/>
      <c r="F12" s="54"/>
      <c r="G12" s="54"/>
      <c r="H12" s="54"/>
      <c r="I12" s="54"/>
    </row>
    <row r="13" spans="1:9" ht="27.75" customHeight="1" x14ac:dyDescent="0.2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</row>
    <row r="14" spans="1:9" ht="20.100000000000001" customHeight="1" x14ac:dyDescent="0.25">
      <c r="B14" s="6" t="s">
        <v>10</v>
      </c>
      <c r="C14" s="7">
        <v>115</v>
      </c>
      <c r="D14" s="7">
        <v>0.218</v>
      </c>
      <c r="E14" s="7">
        <v>0.52600000000000002</v>
      </c>
      <c r="F14" s="48">
        <v>41.902000000000001</v>
      </c>
      <c r="G14" s="8">
        <f>F14/C14</f>
        <v>0.36436521739130434</v>
      </c>
      <c r="H14" s="9" t="s">
        <v>11</v>
      </c>
      <c r="I14" s="8">
        <f t="shared" ref="I14:I19" si="0">G14</f>
        <v>0.36436521739130434</v>
      </c>
    </row>
    <row r="15" spans="1:9" ht="20.100000000000001" customHeight="1" x14ac:dyDescent="0.25">
      <c r="B15" s="10" t="s">
        <v>12</v>
      </c>
      <c r="C15" s="11">
        <v>52.375</v>
      </c>
      <c r="D15" s="11">
        <v>2.3E-2</v>
      </c>
      <c r="E15" s="11">
        <v>8.2000000000000003E-2</v>
      </c>
      <c r="F15" s="49">
        <v>18.431999999999999</v>
      </c>
      <c r="G15" s="8">
        <f t="shared" ref="G15:G19" si="1">F15/C15</f>
        <v>0.35192362768496416</v>
      </c>
      <c r="H15" s="12" t="s">
        <v>11</v>
      </c>
      <c r="I15" s="8">
        <f t="shared" si="0"/>
        <v>0.35192362768496416</v>
      </c>
    </row>
    <row r="16" spans="1:9" ht="20.100000000000001" customHeight="1" x14ac:dyDescent="0.25">
      <c r="B16" s="6" t="s">
        <v>13</v>
      </c>
      <c r="C16" s="7">
        <v>17.167999999999999</v>
      </c>
      <c r="D16" s="7">
        <v>8.0000000000000002E-3</v>
      </c>
      <c r="E16" s="7">
        <v>7.1999999999999995E-2</v>
      </c>
      <c r="F16" s="48">
        <v>7.1029999999999998</v>
      </c>
      <c r="G16" s="8">
        <f t="shared" si="1"/>
        <v>0.4137348555452004</v>
      </c>
      <c r="H16" s="12" t="s">
        <v>11</v>
      </c>
      <c r="I16" s="8">
        <f t="shared" si="0"/>
        <v>0.4137348555452004</v>
      </c>
    </row>
    <row r="17" spans="2:9" ht="20.100000000000001" customHeight="1" x14ac:dyDescent="0.25">
      <c r="B17" s="10" t="s">
        <v>14</v>
      </c>
      <c r="C17" s="11">
        <v>17.100000000000001</v>
      </c>
      <c r="D17" s="11">
        <v>0</v>
      </c>
      <c r="E17" s="11">
        <v>3.3000000000000002E-2</v>
      </c>
      <c r="F17" s="49">
        <v>3.6560000000000001</v>
      </c>
      <c r="G17" s="8">
        <f t="shared" si="1"/>
        <v>0.21380116959064327</v>
      </c>
      <c r="H17" s="12" t="s">
        <v>15</v>
      </c>
      <c r="I17" s="8">
        <f t="shared" si="0"/>
        <v>0.21380116959064327</v>
      </c>
    </row>
    <row r="18" spans="2:9" ht="20.100000000000001" customHeight="1" x14ac:dyDescent="0.25">
      <c r="B18" s="6" t="s">
        <v>16</v>
      </c>
      <c r="C18" s="7">
        <v>15.5</v>
      </c>
      <c r="D18" s="7">
        <v>0</v>
      </c>
      <c r="E18" s="7">
        <v>0.127</v>
      </c>
      <c r="F18" s="48">
        <v>3.681</v>
      </c>
      <c r="G18" s="8">
        <f t="shared" si="1"/>
        <v>0.23748387096774193</v>
      </c>
      <c r="H18" s="9" t="s">
        <v>11</v>
      </c>
      <c r="I18" s="8">
        <f t="shared" si="0"/>
        <v>0.23748387096774193</v>
      </c>
    </row>
    <row r="19" spans="2:9" ht="20.100000000000001" customHeight="1" x14ac:dyDescent="0.25">
      <c r="B19" s="10" t="s">
        <v>17</v>
      </c>
      <c r="C19" s="11">
        <v>13.85</v>
      </c>
      <c r="D19" s="11">
        <v>0</v>
      </c>
      <c r="E19" s="11">
        <v>2E-3</v>
      </c>
      <c r="F19" s="49">
        <v>2.391</v>
      </c>
      <c r="G19" s="8">
        <f t="shared" si="1"/>
        <v>0.17263537906137186</v>
      </c>
      <c r="H19" s="12" t="s">
        <v>15</v>
      </c>
      <c r="I19" s="8">
        <f t="shared" si="0"/>
        <v>0.17263537906137186</v>
      </c>
    </row>
    <row r="20" spans="2:9" ht="21.95" customHeight="1" x14ac:dyDescent="0.25">
      <c r="B20" s="83" t="s">
        <v>18</v>
      </c>
      <c r="C20" s="14">
        <v>290.80399999999997</v>
      </c>
      <c r="D20" s="14">
        <v>0.35799999999999998</v>
      </c>
      <c r="E20" s="14">
        <v>1.0760000000000001</v>
      </c>
      <c r="F20" s="14">
        <v>101.922</v>
      </c>
      <c r="G20" s="15">
        <f>F20/C20</f>
        <v>0.35048348715973648</v>
      </c>
      <c r="H20" s="16"/>
      <c r="I20" s="17"/>
    </row>
    <row r="21" spans="2:9" ht="18" customHeight="1" x14ac:dyDescent="0.25"/>
    <row r="22" spans="2:9" ht="24" customHeight="1" x14ac:dyDescent="0.25">
      <c r="B22" s="93" t="s">
        <v>70</v>
      </c>
      <c r="C22" s="93"/>
      <c r="D22" s="93"/>
      <c r="E22" s="93"/>
      <c r="F22" s="93"/>
    </row>
    <row r="23" spans="2:9" ht="18" customHeight="1" x14ac:dyDescent="0.25">
      <c r="B23" s="72" t="s">
        <v>19</v>
      </c>
      <c r="C23" s="73"/>
      <c r="D23" s="87" t="s">
        <v>20</v>
      </c>
      <c r="E23" s="88"/>
      <c r="F23" s="89"/>
    </row>
    <row r="24" spans="2:9" ht="18" customHeight="1" x14ac:dyDescent="0.25">
      <c r="B24" s="40" t="s">
        <v>21</v>
      </c>
      <c r="C24" s="43">
        <v>228854</v>
      </c>
      <c r="D24" s="62" t="s">
        <v>22</v>
      </c>
      <c r="E24" s="63"/>
      <c r="F24" s="45">
        <f>(379933+378873)/2</f>
        <v>379403</v>
      </c>
    </row>
    <row r="25" spans="2:9" ht="18" customHeight="1" x14ac:dyDescent="0.25">
      <c r="B25" s="41" t="s">
        <v>23</v>
      </c>
      <c r="C25" s="44">
        <v>127667</v>
      </c>
      <c r="D25" s="64" t="s">
        <v>24</v>
      </c>
      <c r="E25" s="65"/>
      <c r="F25" s="44">
        <f>(263546+262650)/2</f>
        <v>263098</v>
      </c>
    </row>
    <row r="26" spans="2:9" ht="18" customHeight="1" x14ac:dyDescent="0.25">
      <c r="B26" s="40" t="s">
        <v>25</v>
      </c>
      <c r="C26" s="43">
        <v>159293</v>
      </c>
      <c r="D26" s="62" t="s">
        <v>26</v>
      </c>
      <c r="E26" s="63"/>
      <c r="F26" s="45">
        <f>(250150+256408)/2</f>
        <v>253279</v>
      </c>
    </row>
    <row r="27" spans="2:9" ht="18" customHeight="1" x14ac:dyDescent="0.25">
      <c r="B27" s="41" t="s">
        <v>27</v>
      </c>
      <c r="C27" s="52">
        <v>115900</v>
      </c>
      <c r="D27" s="64" t="s">
        <v>28</v>
      </c>
      <c r="E27" s="65"/>
      <c r="F27" s="46">
        <f>(326873+326967)/2</f>
        <v>326920</v>
      </c>
    </row>
    <row r="28" spans="2:9" ht="18" customHeight="1" x14ac:dyDescent="0.25">
      <c r="B28" s="42" t="s">
        <v>29</v>
      </c>
      <c r="C28" s="51">
        <v>42300</v>
      </c>
      <c r="D28" s="62" t="s">
        <v>30</v>
      </c>
      <c r="E28" s="63"/>
      <c r="F28" s="45">
        <v>125568</v>
      </c>
    </row>
    <row r="29" spans="2:9" ht="18" customHeight="1" x14ac:dyDescent="0.25">
      <c r="B29" s="20"/>
      <c r="C29" s="20"/>
      <c r="D29" s="64" t="s">
        <v>31</v>
      </c>
      <c r="E29" s="65"/>
      <c r="F29" s="46">
        <f>(83212+83549)/2</f>
        <v>83380.5</v>
      </c>
    </row>
    <row r="30" spans="2:9" ht="18" customHeight="1" x14ac:dyDescent="0.25">
      <c r="B30" s="21"/>
      <c r="C30" s="21"/>
      <c r="D30" s="62" t="s">
        <v>32</v>
      </c>
      <c r="E30" s="63"/>
      <c r="F30" s="45">
        <f>(50369+50296)/2</f>
        <v>50332.5</v>
      </c>
    </row>
    <row r="31" spans="2:9" ht="18" customHeight="1" x14ac:dyDescent="0.25">
      <c r="B31" s="20"/>
      <c r="C31" s="20"/>
      <c r="D31" s="66" t="s">
        <v>33</v>
      </c>
      <c r="E31" s="67"/>
      <c r="F31" s="46">
        <f>(63691+64644)/2</f>
        <v>64167.5</v>
      </c>
    </row>
    <row r="32" spans="2:9" ht="21.95" customHeight="1" x14ac:dyDescent="0.25">
      <c r="B32" s="22" t="s">
        <v>34</v>
      </c>
      <c r="C32" s="23">
        <f>SUM(C24:C28)</f>
        <v>674014</v>
      </c>
      <c r="D32" s="85" t="s">
        <v>35</v>
      </c>
      <c r="E32" s="86"/>
      <c r="F32" s="39">
        <f>SUM(F24:F31)</f>
        <v>1546148.5</v>
      </c>
    </row>
    <row r="33" spans="2:9" ht="24" customHeight="1" x14ac:dyDescent="0.25">
      <c r="B33" s="84" t="s">
        <v>36</v>
      </c>
      <c r="C33" s="54"/>
      <c r="D33" s="74">
        <f>C32+F32</f>
        <v>2220162.5</v>
      </c>
      <c r="E33" s="75"/>
      <c r="F33" s="76"/>
    </row>
    <row r="34" spans="2:9" ht="18" customHeight="1" x14ac:dyDescent="0.25"/>
    <row r="35" spans="2:9" ht="24" customHeight="1" x14ac:dyDescent="0.25">
      <c r="B35" s="58" t="s">
        <v>37</v>
      </c>
      <c r="C35" s="54"/>
      <c r="D35" s="54"/>
      <c r="E35" s="54"/>
      <c r="F35" s="54"/>
      <c r="G35" s="54"/>
      <c r="H35" s="54"/>
      <c r="I35" s="54"/>
    </row>
    <row r="36" spans="2:9" ht="15.95" customHeight="1" x14ac:dyDescent="0.25">
      <c r="B36" s="55" t="s">
        <v>38</v>
      </c>
      <c r="C36" s="54"/>
      <c r="D36" s="54"/>
      <c r="E36" s="54"/>
      <c r="F36" s="54"/>
      <c r="G36" s="54"/>
      <c r="H36" s="54"/>
      <c r="I36" s="54"/>
    </row>
    <row r="37" spans="2:9" ht="20.100000000000001" customHeight="1" x14ac:dyDescent="0.25">
      <c r="B37" s="81" t="s">
        <v>72</v>
      </c>
      <c r="C37" s="54"/>
      <c r="D37" s="54"/>
      <c r="E37" s="54"/>
      <c r="F37" s="54"/>
      <c r="G37" s="54"/>
      <c r="H37" s="54"/>
      <c r="I37" s="54"/>
    </row>
    <row r="38" spans="2:9" ht="15.95" customHeight="1" x14ac:dyDescent="0.25">
      <c r="B38" s="80" t="s">
        <v>39</v>
      </c>
      <c r="C38" s="54"/>
      <c r="D38" s="54"/>
      <c r="E38" s="54"/>
      <c r="F38" s="54"/>
      <c r="G38" s="54"/>
      <c r="H38" s="54"/>
      <c r="I38" s="54"/>
    </row>
    <row r="39" spans="2:9" ht="20.100000000000001" customHeight="1" x14ac:dyDescent="0.25">
      <c r="B39" s="71" t="s">
        <v>71</v>
      </c>
      <c r="C39" s="54"/>
      <c r="D39" s="54"/>
      <c r="E39" s="54"/>
      <c r="F39" s="54"/>
      <c r="G39" s="54"/>
      <c r="H39" s="54"/>
      <c r="I39" s="54"/>
    </row>
    <row r="40" spans="2:9" ht="15.95" customHeight="1" x14ac:dyDescent="0.25">
      <c r="B40" s="61" t="s">
        <v>40</v>
      </c>
      <c r="C40" s="54"/>
      <c r="D40" s="54"/>
      <c r="E40" s="54"/>
      <c r="F40" s="54"/>
      <c r="G40" s="54"/>
      <c r="H40" s="54"/>
      <c r="I40" s="54"/>
    </row>
    <row r="41" spans="2:9" ht="20.100000000000001" customHeight="1" x14ac:dyDescent="0.25">
      <c r="B41" s="57" t="s">
        <v>67</v>
      </c>
      <c r="C41" s="54"/>
      <c r="D41" s="54"/>
      <c r="E41" s="54"/>
      <c r="F41" s="54"/>
      <c r="G41" s="54"/>
      <c r="H41" s="54"/>
      <c r="I41" s="54"/>
    </row>
    <row r="42" spans="2:9" ht="15.95" customHeight="1" x14ac:dyDescent="0.25">
      <c r="B42" s="60" t="s">
        <v>41</v>
      </c>
      <c r="C42" s="54"/>
      <c r="D42" s="54"/>
      <c r="E42" s="54"/>
      <c r="F42" s="54"/>
      <c r="G42" s="54"/>
      <c r="H42" s="54"/>
      <c r="I42" s="54"/>
    </row>
    <row r="43" spans="2:9" ht="20.100000000000001" customHeight="1" x14ac:dyDescent="0.25">
      <c r="B43" s="59" t="s">
        <v>73</v>
      </c>
      <c r="C43" s="54"/>
      <c r="D43" s="54"/>
      <c r="E43" s="54"/>
      <c r="F43" s="54"/>
      <c r="G43" s="54"/>
      <c r="H43" s="54"/>
      <c r="I43" s="54"/>
    </row>
    <row r="44" spans="2:9" ht="18" customHeight="1" x14ac:dyDescent="0.25"/>
    <row r="45" spans="2:9" ht="18" customHeight="1" x14ac:dyDescent="0.25">
      <c r="B45" s="53" t="s">
        <v>64</v>
      </c>
      <c r="C45" s="54"/>
      <c r="D45" s="54"/>
      <c r="E45" s="54"/>
      <c r="F45" s="54"/>
      <c r="G45" s="54"/>
      <c r="H45" s="54"/>
      <c r="I45" s="54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D32:E32"/>
    <mergeCell ref="D23:F23"/>
    <mergeCell ref="A3:I3"/>
    <mergeCell ref="F7:G7"/>
    <mergeCell ref="D8:E8"/>
    <mergeCell ref="B6:C6"/>
    <mergeCell ref="D6:E6"/>
    <mergeCell ref="B22:F22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0"/>
  <sheetViews>
    <sheetView showGridLines="0" workbookViewId="0">
      <selection activeCell="A10" sqref="A10:B10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5" t="s">
        <v>42</v>
      </c>
      <c r="B1" s="54"/>
      <c r="C1" s="54"/>
      <c r="D1" s="54"/>
      <c r="E1" s="54"/>
      <c r="F1" s="54"/>
      <c r="G1" s="54"/>
    </row>
    <row r="2" spans="1:7" x14ac:dyDescent="0.25">
      <c r="A2" s="94" t="s">
        <v>66</v>
      </c>
      <c r="B2" s="54"/>
      <c r="C2" s="54"/>
      <c r="D2" s="54"/>
      <c r="E2" s="54"/>
      <c r="F2" s="54"/>
      <c r="G2" s="54"/>
    </row>
    <row r="3" spans="1:7" ht="27.95" customHeight="1" x14ac:dyDescent="0.25">
      <c r="A3" s="24" t="s">
        <v>43</v>
      </c>
      <c r="B3" s="24" t="s">
        <v>2</v>
      </c>
      <c r="C3" s="24" t="s">
        <v>44</v>
      </c>
      <c r="D3" s="50" t="s">
        <v>59</v>
      </c>
      <c r="E3" s="50" t="s">
        <v>60</v>
      </c>
      <c r="F3" s="50" t="s">
        <v>61</v>
      </c>
      <c r="G3" s="24" t="s">
        <v>45</v>
      </c>
    </row>
    <row r="4" spans="1:7" ht="20.100000000000001" customHeight="1" x14ac:dyDescent="0.25">
      <c r="A4" s="25">
        <v>1</v>
      </c>
      <c r="B4" s="6" t="s">
        <v>10</v>
      </c>
      <c r="C4" s="7">
        <v>115</v>
      </c>
      <c r="D4" s="7">
        <f>'📊 DASHBOARD'!D14</f>
        <v>0.218</v>
      </c>
      <c r="E4" s="7">
        <f>'📊 DASHBOARD'!E14</f>
        <v>0.52600000000000002</v>
      </c>
      <c r="F4" s="7">
        <f>'📊 DASHBOARD'!F14</f>
        <v>41.902000000000001</v>
      </c>
      <c r="G4" s="8">
        <f>F4/C4</f>
        <v>0.36436521739130434</v>
      </c>
    </row>
    <row r="5" spans="1:7" ht="20.100000000000001" customHeight="1" x14ac:dyDescent="0.25">
      <c r="A5" s="26">
        <v>2</v>
      </c>
      <c r="B5" s="27" t="s">
        <v>12</v>
      </c>
      <c r="C5" s="28">
        <v>52.375</v>
      </c>
      <c r="D5" s="28">
        <f>'📊 DASHBOARD'!D15</f>
        <v>2.3E-2</v>
      </c>
      <c r="E5" s="28">
        <f>'📊 DASHBOARD'!E15</f>
        <v>8.2000000000000003E-2</v>
      </c>
      <c r="F5" s="28">
        <f>'📊 DASHBOARD'!F15</f>
        <v>18.431999999999999</v>
      </c>
      <c r="G5" s="29">
        <f t="shared" ref="G5:G10" si="0">F5/C5</f>
        <v>0.35192362768496416</v>
      </c>
    </row>
    <row r="6" spans="1:7" ht="20.100000000000001" customHeight="1" x14ac:dyDescent="0.25">
      <c r="A6" s="25">
        <v>3</v>
      </c>
      <c r="B6" s="6" t="s">
        <v>13</v>
      </c>
      <c r="C6" s="7">
        <v>17.167999999999999</v>
      </c>
      <c r="D6" s="7">
        <f>'📊 DASHBOARD'!D16</f>
        <v>8.0000000000000002E-3</v>
      </c>
      <c r="E6" s="7">
        <f>'📊 DASHBOARD'!E16</f>
        <v>7.1999999999999995E-2</v>
      </c>
      <c r="F6" s="7">
        <f>'📊 DASHBOARD'!F16</f>
        <v>7.1029999999999998</v>
      </c>
      <c r="G6" s="13">
        <f t="shared" si="0"/>
        <v>0.4137348555452004</v>
      </c>
    </row>
    <row r="7" spans="1:7" ht="20.100000000000001" customHeight="1" x14ac:dyDescent="0.25">
      <c r="A7" s="26">
        <v>4</v>
      </c>
      <c r="B7" s="27" t="s">
        <v>14</v>
      </c>
      <c r="C7" s="28">
        <v>17.100000000000001</v>
      </c>
      <c r="D7" s="28">
        <f>'📊 DASHBOARD'!D17</f>
        <v>0</v>
      </c>
      <c r="E7" s="28">
        <f>'📊 DASHBOARD'!E17</f>
        <v>3.3000000000000002E-2</v>
      </c>
      <c r="F7" s="28">
        <f>'📊 DASHBOARD'!F17</f>
        <v>3.6560000000000001</v>
      </c>
      <c r="G7" s="30">
        <f t="shared" si="0"/>
        <v>0.21380116959064327</v>
      </c>
    </row>
    <row r="8" spans="1:7" ht="20.100000000000001" customHeight="1" x14ac:dyDescent="0.25">
      <c r="A8" s="25">
        <v>5</v>
      </c>
      <c r="B8" s="6" t="s">
        <v>16</v>
      </c>
      <c r="C8" s="7">
        <v>15.5</v>
      </c>
      <c r="D8" s="7">
        <f>'📊 DASHBOARD'!D18</f>
        <v>0</v>
      </c>
      <c r="E8" s="7">
        <f>'📊 DASHBOARD'!E18</f>
        <v>0.127</v>
      </c>
      <c r="F8" s="7">
        <f>'📊 DASHBOARD'!F18</f>
        <v>3.681</v>
      </c>
      <c r="G8" s="8">
        <f t="shared" si="0"/>
        <v>0.23748387096774193</v>
      </c>
    </row>
    <row r="9" spans="1:7" ht="20.100000000000001" customHeight="1" x14ac:dyDescent="0.25">
      <c r="A9" s="26">
        <v>6</v>
      </c>
      <c r="B9" s="27" t="s">
        <v>17</v>
      </c>
      <c r="C9" s="28">
        <v>13.85</v>
      </c>
      <c r="D9" s="28">
        <f>'📊 DASHBOARD'!D19</f>
        <v>0</v>
      </c>
      <c r="E9" s="28">
        <f>'📊 DASHBOARD'!E19</f>
        <v>2E-3</v>
      </c>
      <c r="F9" s="28">
        <f>'📊 DASHBOARD'!F19</f>
        <v>2.391</v>
      </c>
      <c r="G9" s="30">
        <f t="shared" si="0"/>
        <v>0.17263537906137186</v>
      </c>
    </row>
    <row r="10" spans="1:7" ht="21.95" customHeight="1" x14ac:dyDescent="0.25">
      <c r="A10" s="96" t="s">
        <v>62</v>
      </c>
      <c r="B10" s="54"/>
      <c r="C10" s="14">
        <f t="shared" ref="C10" si="1">SUM(C4:C9)</f>
        <v>230.99299999999999</v>
      </c>
      <c r="D10" s="14">
        <f>SUM(D4:D9)</f>
        <v>0.249</v>
      </c>
      <c r="E10" s="14">
        <f t="shared" ref="E10:F10" si="2">SUM(E4:E9)</f>
        <v>0.84199999999999997</v>
      </c>
      <c r="F10" s="14">
        <f t="shared" si="2"/>
        <v>77.165000000000006</v>
      </c>
      <c r="G10" s="15">
        <f t="shared" si="0"/>
        <v>0.33405774200949817</v>
      </c>
    </row>
    <row r="11" spans="1:7" ht="9.9499999999999993" customHeight="1" x14ac:dyDescent="0.25"/>
    <row r="14" spans="1:7" x14ac:dyDescent="0.25">
      <c r="A14" t="s">
        <v>46</v>
      </c>
      <c r="B14" t="s">
        <v>47</v>
      </c>
      <c r="C14" t="s">
        <v>48</v>
      </c>
    </row>
    <row r="15" spans="1:7" x14ac:dyDescent="0.25">
      <c r="A15" t="s">
        <v>10</v>
      </c>
      <c r="B15">
        <v>48.154000000000003</v>
      </c>
      <c r="C15">
        <v>115</v>
      </c>
    </row>
    <row r="16" spans="1:7" x14ac:dyDescent="0.25">
      <c r="A16" t="s">
        <v>12</v>
      </c>
      <c r="B16">
        <v>21.88</v>
      </c>
      <c r="C16">
        <v>52.375</v>
      </c>
    </row>
    <row r="17" spans="1:3" x14ac:dyDescent="0.25">
      <c r="A17" t="s">
        <v>13</v>
      </c>
      <c r="B17">
        <v>8.9550000000000001</v>
      </c>
      <c r="C17">
        <v>17.167999999999999</v>
      </c>
    </row>
    <row r="18" spans="1:3" x14ac:dyDescent="0.25">
      <c r="A18" t="s">
        <v>14</v>
      </c>
      <c r="B18">
        <v>4.2130000000000001</v>
      </c>
      <c r="C18">
        <v>17.100000000000001</v>
      </c>
    </row>
    <row r="19" spans="1:3" x14ac:dyDescent="0.25">
      <c r="A19" t="s">
        <v>16</v>
      </c>
      <c r="B19">
        <v>5.8940000000000001</v>
      </c>
      <c r="C19">
        <v>15.5</v>
      </c>
    </row>
    <row r="20" spans="1:3" x14ac:dyDescent="0.25">
      <c r="A20" t="s">
        <v>17</v>
      </c>
      <c r="B20">
        <v>2.5579999999999998</v>
      </c>
      <c r="C20">
        <v>13.85</v>
      </c>
    </row>
  </sheetData>
  <mergeCells count="3">
    <mergeCell ref="A2:G2"/>
    <mergeCell ref="A1:G1"/>
    <mergeCell ref="A10:B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topLeftCell="A5" workbookViewId="0">
      <selection activeCell="L18" sqref="L18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5" t="s">
        <v>65</v>
      </c>
      <c r="B1" s="54"/>
      <c r="C1" s="54"/>
      <c r="D1" s="54"/>
      <c r="E1" s="54"/>
      <c r="F1" s="54"/>
    </row>
    <row r="2" spans="1:6" x14ac:dyDescent="0.25">
      <c r="A2" s="94" t="s">
        <v>49</v>
      </c>
      <c r="B2" s="54"/>
      <c r="C2" s="54"/>
      <c r="D2" s="54"/>
      <c r="E2" s="54"/>
      <c r="F2" s="54"/>
    </row>
    <row r="3" spans="1:6" ht="15.75" x14ac:dyDescent="0.25">
      <c r="B3" s="98" t="s">
        <v>19</v>
      </c>
      <c r="C3" s="54"/>
      <c r="E3" s="100" t="s">
        <v>20</v>
      </c>
      <c r="F3" s="54"/>
    </row>
    <row r="4" spans="1:6" x14ac:dyDescent="0.25">
      <c r="B4" s="31" t="s">
        <v>50</v>
      </c>
      <c r="C4" s="31" t="s">
        <v>51</v>
      </c>
      <c r="E4" s="31" t="s">
        <v>50</v>
      </c>
      <c r="F4" s="31" t="s">
        <v>51</v>
      </c>
    </row>
    <row r="5" spans="1:6" ht="18" customHeight="1" x14ac:dyDescent="0.25">
      <c r="B5" s="18" t="s">
        <v>21</v>
      </c>
      <c r="C5" s="32">
        <f>'📊 DASHBOARD'!C24</f>
        <v>228854</v>
      </c>
      <c r="E5" s="18" t="s">
        <v>22</v>
      </c>
      <c r="F5" s="33">
        <f>'📊 DASHBOARD'!F24</f>
        <v>379403</v>
      </c>
    </row>
    <row r="6" spans="1:6" ht="18" customHeight="1" x14ac:dyDescent="0.25">
      <c r="B6" s="19" t="s">
        <v>23</v>
      </c>
      <c r="C6" s="34">
        <f>'📊 DASHBOARD'!C25</f>
        <v>127667</v>
      </c>
      <c r="E6" s="19" t="s">
        <v>24</v>
      </c>
      <c r="F6" s="35">
        <f>'📊 DASHBOARD'!F25</f>
        <v>263098</v>
      </c>
    </row>
    <row r="7" spans="1:6" ht="18" customHeight="1" x14ac:dyDescent="0.25">
      <c r="B7" s="18" t="s">
        <v>25</v>
      </c>
      <c r="C7" s="32">
        <f>'📊 DASHBOARD'!C26</f>
        <v>159293</v>
      </c>
      <c r="E7" s="18" t="s">
        <v>26</v>
      </c>
      <c r="F7" s="33">
        <f>'📊 DASHBOARD'!F26</f>
        <v>253279</v>
      </c>
    </row>
    <row r="8" spans="1:6" ht="18" customHeight="1" x14ac:dyDescent="0.25">
      <c r="B8" s="19" t="s">
        <v>27</v>
      </c>
      <c r="C8" s="34">
        <f>'📊 DASHBOARD'!C27</f>
        <v>115900</v>
      </c>
      <c r="E8" s="19" t="s">
        <v>28</v>
      </c>
      <c r="F8" s="35">
        <f>'📊 DASHBOARD'!F27</f>
        <v>326920</v>
      </c>
    </row>
    <row r="9" spans="1:6" ht="18" customHeight="1" x14ac:dyDescent="0.25">
      <c r="B9" s="18" t="s">
        <v>29</v>
      </c>
      <c r="C9" s="32">
        <f>'📊 DASHBOARD'!C28</f>
        <v>42300</v>
      </c>
      <c r="E9" s="18" t="s">
        <v>30</v>
      </c>
      <c r="F9" s="33">
        <f>'📊 DASHBOARD'!F28</f>
        <v>125568</v>
      </c>
    </row>
    <row r="10" spans="1:6" ht="18" customHeight="1" x14ac:dyDescent="0.25">
      <c r="E10" s="19" t="s">
        <v>31</v>
      </c>
      <c r="F10" s="35">
        <f>'📊 DASHBOARD'!F29</f>
        <v>83380.5</v>
      </c>
    </row>
    <row r="11" spans="1:6" ht="18" customHeight="1" x14ac:dyDescent="0.25">
      <c r="E11" s="18" t="s">
        <v>32</v>
      </c>
      <c r="F11" s="33">
        <f>'📊 DASHBOARD'!F30</f>
        <v>50332.5</v>
      </c>
    </row>
    <row r="12" spans="1:6" ht="18" customHeight="1" x14ac:dyDescent="0.25">
      <c r="E12" s="19" t="s">
        <v>33</v>
      </c>
      <c r="F12" s="35">
        <f>'📊 DASHBOARD'!F31</f>
        <v>64167.5</v>
      </c>
    </row>
    <row r="13" spans="1:6" ht="21.95" customHeight="1" x14ac:dyDescent="0.25">
      <c r="B13" s="22" t="s">
        <v>34</v>
      </c>
      <c r="C13" s="36">
        <f>SUM(C5:C9)</f>
        <v>674014</v>
      </c>
      <c r="E13" s="37" t="s">
        <v>35</v>
      </c>
      <c r="F13" s="38">
        <f>SUM(F5:F12)</f>
        <v>1546148.5</v>
      </c>
    </row>
    <row r="14" spans="1:6" ht="26.1" customHeight="1" x14ac:dyDescent="0.25">
      <c r="B14" s="99" t="s">
        <v>52</v>
      </c>
      <c r="C14" s="54"/>
      <c r="D14" s="97">
        <f>C13+F13</f>
        <v>2220162.5</v>
      </c>
      <c r="E14" s="54"/>
      <c r="F14" s="54"/>
    </row>
    <row r="17" spans="2:3" x14ac:dyDescent="0.25">
      <c r="B17" t="s">
        <v>53</v>
      </c>
      <c r="C17" t="s">
        <v>54</v>
      </c>
    </row>
    <row r="18" spans="2:3" x14ac:dyDescent="0.25">
      <c r="B18" t="s">
        <v>55</v>
      </c>
      <c r="C18" s="47">
        <f>F13</f>
        <v>1546148.5</v>
      </c>
    </row>
    <row r="19" spans="2:3" x14ac:dyDescent="0.25">
      <c r="B19" t="s">
        <v>56</v>
      </c>
      <c r="C19" s="47">
        <f>C13</f>
        <v>674014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Hadjikostis</cp:lastModifiedBy>
  <cp:lastPrinted>2026-07-27T08:31:05Z</cp:lastPrinted>
  <dcterms:created xsi:type="dcterms:W3CDTF">2026-06-14T09:28:25Z</dcterms:created>
  <dcterms:modified xsi:type="dcterms:W3CDTF">2026-10-26T09:43:37Z</dcterms:modified>
</cp:coreProperties>
</file>