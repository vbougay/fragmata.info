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0AC42C28-00B7-4925-9C45-6457E8221D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ΔΕΛΤΙΟ ΝΕΡΟΥ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0" l="1"/>
  <c r="D10" i="10"/>
  <c r="E8" i="10"/>
  <c r="E6" i="10"/>
  <c r="E5" i="10"/>
  <c r="E4" i="10"/>
  <c r="E3" i="10"/>
  <c r="D6" i="10"/>
  <c r="D7" i="10"/>
  <c r="D5" i="10"/>
  <c r="D4" i="10"/>
  <c r="D3" i="10"/>
  <c r="G3" i="10"/>
  <c r="G4" i="10"/>
  <c r="G5" i="10"/>
  <c r="G6" i="10"/>
  <c r="G7" i="10"/>
  <c r="G8" i="10"/>
</calcChain>
</file>

<file path=xl/sharedStrings.xml><?xml version="1.0" encoding="utf-8"?>
<sst xmlns="http://schemas.openxmlformats.org/spreadsheetml/2006/main" count="16" uniqueCount="16">
  <si>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</si>
  <si>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</si>
  <si>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</si>
  <si>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</si>
  <si>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</si>
  <si>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</si>
  <si>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</si>
  <si>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</si>
  <si>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</si>
  <si>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</si>
  <si>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</si>
  <si>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</si>
  <si>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</si>
  <si>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Εισροή Νερού 
24/2-2/3/2026</t>
  </si>
  <si>
    <t>Εκροή Νερού 
24/2-2/3/2026</t>
  </si>
  <si>
    <t>Αποθηκευμένη Ποσότητα
2 Μαρτίου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</si>
</sst>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0" x14ac:knownFonts="1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5" borderId="21" xfId="2" applyFont="1" applyBorder="1" applyAlignment="1">
      <alignment horizontal="center" vertical="center" wrapText="1"/>
    </xf>
    <xf numFmtId="0" fontId="7" fillId="5" borderId="22" xfId="2" applyFont="1" applyBorder="1" applyAlignment="1">
      <alignment horizontal="center" vertical="center" wrapText="1"/>
    </xf>
    <xf numFmtId="0" fontId="8" fillId="6" borderId="21" xfId="3" applyFont="1" applyBorder="1" applyAlignment="1">
      <alignment horizontal="center" vertical="center" wrapText="1"/>
    </xf>
    <xf numFmtId="0" fontId="8" fillId="6" borderId="22" xfId="3" applyFont="1" applyBorder="1" applyAlignment="1">
      <alignment horizontal="center" vertical="center" wrapText="1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tabSelected="1" zoomScale="98" zoomScaleNormal="98" workbookViewId="0">
      <selection activeCell="E11" sqref="E11"/>
    </sheetView>
  </sheetViews>
  <sheetFormatPr defaultColWidth="9.28515625" defaultRowHeight="14.25" x14ac:dyDescent="0.2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 x14ac:dyDescent="0.2">
      <c r="A1" s="38" t="s">
        <v>9</v>
      </c>
      <c r="B1" s="39"/>
      <c r="C1" s="34" t="s">
        <v>7</v>
      </c>
      <c r="D1" s="40" t="s">
        <v>13</v>
      </c>
      <c r="E1" s="42" t="s">
        <v>14</v>
      </c>
      <c r="F1" s="36" t="s">
        <v>15</v>
      </c>
      <c r="G1" s="37"/>
    </row>
    <row r="2" spans="1:9" ht="30.75" thickBot="1" x14ac:dyDescent="0.25">
      <c r="A2" s="38"/>
      <c r="B2" s="39"/>
      <c r="C2" s="35"/>
      <c r="D2" s="41"/>
      <c r="E2" s="43"/>
      <c r="F2" s="10" t="s">
        <v>4</v>
      </c>
      <c r="G2" s="11" t="s">
        <v>8</v>
      </c>
    </row>
    <row r="3" spans="1:9" ht="20.100000000000001" customHeight="1" x14ac:dyDescent="0.2">
      <c r="A3" s="15">
        <v>1</v>
      </c>
      <c r="B3" s="16" t="s">
        <v>0</v>
      </c>
      <c r="C3" s="17">
        <v>115</v>
      </c>
      <c r="D3" s="27">
        <f>0.573+0.088</f>
        <v>0.66099999999999992</v>
      </c>
      <c r="E3" s="27">
        <f>0.079+0.014</f>
        <v>9.2999999999999999E-2</v>
      </c>
      <c r="F3" s="18">
        <v>21.692</v>
      </c>
      <c r="G3" s="23">
        <f t="shared" ref="G3:G8" si="0">F3/C3</f>
        <v>0.18862608695652175</v>
      </c>
      <c r="I3" s="2"/>
    </row>
    <row r="4" spans="1:9" ht="20.100000000000001" customHeight="1" x14ac:dyDescent="0.2">
      <c r="A4" s="19">
        <v>2</v>
      </c>
      <c r="B4" s="20" t="s">
        <v>5</v>
      </c>
      <c r="C4" s="21">
        <v>52.375</v>
      </c>
      <c r="D4" s="28">
        <f>0.328+0.046</f>
        <v>0.374</v>
      </c>
      <c r="E4" s="28">
        <f>0.038+0.013</f>
        <v>5.0999999999999997E-2</v>
      </c>
      <c r="F4" s="22">
        <v>11.334</v>
      </c>
      <c r="G4" s="24">
        <f t="shared" si="0"/>
        <v>0.21640095465393794</v>
      </c>
      <c r="I4" s="2"/>
    </row>
    <row r="5" spans="1:9" ht="20.100000000000001" customHeight="1" x14ac:dyDescent="0.2">
      <c r="A5" s="19">
        <v>3</v>
      </c>
      <c r="B5" s="20" t="s">
        <v>6</v>
      </c>
      <c r="C5" s="21">
        <v>17.167999999999999</v>
      </c>
      <c r="D5" s="28">
        <f>0.207+0.037</f>
        <v>0.24399999999999999</v>
      </c>
      <c r="E5" s="28">
        <f>0.073+0.013</f>
        <v>8.5999999999999993E-2</v>
      </c>
      <c r="F5" s="22">
        <v>4.516</v>
      </c>
      <c r="G5" s="24">
        <f t="shared" si="0"/>
        <v>0.26304753028890959</v>
      </c>
      <c r="I5" s="2"/>
    </row>
    <row r="6" spans="1:9" ht="20.100000000000001" customHeight="1" x14ac:dyDescent="0.2">
      <c r="A6" s="19">
        <v>4</v>
      </c>
      <c r="B6" s="20" t="s">
        <v>1</v>
      </c>
      <c r="C6" s="21">
        <v>17.100000000000001</v>
      </c>
      <c r="D6" s="28">
        <f>0.082+0.004</f>
        <v>8.6000000000000007E-2</v>
      </c>
      <c r="E6" s="28">
        <f>0.047+0.021</f>
        <v>6.8000000000000005E-2</v>
      </c>
      <c r="F6" s="22">
        <v>1.421</v>
      </c>
      <c r="G6" s="24">
        <f t="shared" si="0"/>
        <v>8.3099415204678354E-2</v>
      </c>
      <c r="I6" s="2"/>
    </row>
    <row r="7" spans="1:9" ht="20.100000000000001" customHeight="1" x14ac:dyDescent="0.2">
      <c r="A7" s="19">
        <v>5</v>
      </c>
      <c r="B7" s="20" t="s">
        <v>3</v>
      </c>
      <c r="C7" s="21">
        <v>15.5</v>
      </c>
      <c r="D7" s="28">
        <f>0.089+0.011</f>
        <v>9.9999999999999992E-2</v>
      </c>
      <c r="E7" s="28">
        <v>1.6E-2</v>
      </c>
      <c r="F7" s="22">
        <v>3.5649999999999999</v>
      </c>
      <c r="G7" s="24">
        <f t="shared" si="0"/>
        <v>0.23</v>
      </c>
      <c r="I7" s="2"/>
    </row>
    <row r="8" spans="1:9" ht="20.100000000000001" customHeight="1" thickBot="1" x14ac:dyDescent="0.25">
      <c r="A8" s="19">
        <v>6</v>
      </c>
      <c r="B8" s="20" t="s">
        <v>2</v>
      </c>
      <c r="C8" s="21">
        <v>13.85</v>
      </c>
      <c r="D8" s="28">
        <v>1.4E-2</v>
      </c>
      <c r="E8" s="28">
        <f>0.076+0.019</f>
        <v>9.5000000000000001E-2</v>
      </c>
      <c r="F8" s="22">
        <v>1.667</v>
      </c>
      <c r="G8" s="24">
        <f t="shared" si="0"/>
        <v>0.12036101083032491</v>
      </c>
      <c r="I8" s="2"/>
    </row>
    <row r="9" spans="1:9" ht="8.1" customHeight="1" thickBot="1" x14ac:dyDescent="0.25">
      <c r="A9" s="12"/>
      <c r="B9" s="13"/>
      <c r="C9" s="6"/>
      <c r="D9" s="7"/>
      <c r="E9" s="7"/>
      <c r="F9" s="8"/>
      <c r="G9" s="9"/>
      <c r="I9" s="2"/>
    </row>
    <row r="10" spans="1:9" ht="34.5" customHeight="1" thickBot="1" x14ac:dyDescent="0.25">
      <c r="A10" s="32" t="s">
        <v>10</v>
      </c>
      <c r="B10" s="33"/>
      <c r="C10" s="14">
        <v>290.80400000000003</v>
      </c>
      <c r="D10" s="25">
        <f>2.382+0.373</f>
        <v>2.7549999999999999</v>
      </c>
      <c r="E10" s="26">
        <f>0.393+0.096</f>
        <v>0.48899999999999999</v>
      </c>
      <c r="F10" s="31" t="s">
        <v>12</v>
      </c>
      <c r="G10" s="29">
        <v>0.20599999999999999</v>
      </c>
    </row>
    <row r="11" spans="1:9" ht="30" customHeight="1" thickBot="1" x14ac:dyDescent="0.25">
      <c r="F11" s="31" t="s">
        <v>11</v>
      </c>
      <c r="G11" s="29">
        <v>0.255</v>
      </c>
    </row>
    <row r="18" spans="2:4" x14ac:dyDescent="0.2">
      <c r="C18" s="4"/>
    </row>
    <row r="20" spans="2:4" x14ac:dyDescent="0.2">
      <c r="B20" s="3"/>
    </row>
    <row r="22" spans="2:4" ht="15" x14ac:dyDescent="0.2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ΔΕΛΤΙΟ ΝΕΡΟΥ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2024-01-16T07:50:55Z</cp:lastPrinted>
  <dcterms:created xsi:type="dcterms:W3CDTF">2019-12-27T07:37:40Z</dcterms:created>
  <dcterms:modified xsi:type="dcterms:W3CDTF">2026-03-03T08:00:09Z</dcterms:modified>
</cp:coreProperties>
</file>